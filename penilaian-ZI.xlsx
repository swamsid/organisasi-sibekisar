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roject\sibekisar\"/>
    </mc:Choice>
  </mc:AlternateContent>
  <xr:revisionPtr revIDLastSave="0" documentId="13_ncr:1_{5FC22B74-640C-4B20-B0A7-D15D4E9E7224}" xr6:coauthVersionLast="47" xr6:coauthVersionMax="47" xr10:uidLastSave="{00000000-0000-0000-0000-000000000000}"/>
  <bookViews>
    <workbookView xWindow="-110" yWindow="-110" windowWidth="19420" windowHeight="11500" activeTab="3" xr2:uid="{81ABB71F-C48B-4169-A963-AC8D91DB89DC}"/>
  </bookViews>
  <sheets>
    <sheet name="RB General" sheetId="1" r:id="rId1"/>
    <sheet name="m_indikator" sheetId="2" r:id="rId2"/>
    <sheet name="m_evaluasi" sheetId="3" r:id="rId3"/>
    <sheet name="Sheet1" sheetId="5" r:id="rId4"/>
  </sheets>
  <definedNames>
    <definedName name="_xlnm._FilterDatabase" localSheetId="2" hidden="1">m_evaluasi!$A$1:$V$612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M9" i="5"/>
  <c r="M10" i="5"/>
  <c r="M11" i="5"/>
  <c r="M12" i="5"/>
  <c r="M13" i="5"/>
  <c r="M2" i="5"/>
  <c r="M37" i="2"/>
  <c r="M38" i="2"/>
  <c r="M39" i="2"/>
  <c r="M36" i="2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2" i="3"/>
  <c r="H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2" i="2"/>
  <c r="I402" i="3"/>
  <c r="I4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5" i="1"/>
  <c r="H3" i="1" s="1"/>
  <c r="I6" i="1"/>
  <c r="I7" i="1"/>
  <c r="F3" i="1"/>
  <c r="F39" i="1" s="1"/>
  <c r="F8" i="1"/>
  <c r="I474" i="3" l="1"/>
  <c r="I549" i="3"/>
  <c r="I344" i="3"/>
  <c r="I320" i="3"/>
  <c r="J320" i="3" s="1"/>
  <c r="I284" i="3"/>
  <c r="J284" i="3" s="1"/>
  <c r="I176" i="3"/>
  <c r="J176" i="3" s="1"/>
  <c r="I140" i="3"/>
  <c r="J140" i="3" s="1"/>
  <c r="I330" i="3"/>
  <c r="J330" i="3" s="1"/>
  <c r="I413" i="3"/>
  <c r="J413" i="3" s="1"/>
  <c r="I498" i="3"/>
  <c r="J498" i="3" s="1"/>
  <c r="J344" i="3"/>
  <c r="J474" i="3"/>
  <c r="J402" i="3"/>
  <c r="I287" i="3"/>
  <c r="J287" i="3" s="1"/>
  <c r="I286" i="3"/>
  <c r="J286" i="3" s="1"/>
  <c r="I83" i="3"/>
  <c r="J83" i="3" s="1"/>
  <c r="I308" i="3"/>
  <c r="J308" i="3" s="1"/>
  <c r="I212" i="3"/>
  <c r="J212" i="3"/>
  <c r="I164" i="3"/>
  <c r="J164" i="3" s="1"/>
  <c r="I104" i="3"/>
  <c r="J104" i="3" s="1"/>
  <c r="I80" i="3"/>
  <c r="J80" i="3" s="1"/>
  <c r="I520" i="3"/>
  <c r="J520" i="3"/>
  <c r="I472" i="3"/>
  <c r="J472" i="3" s="1"/>
  <c r="I436" i="3"/>
  <c r="J436" i="3" s="1"/>
  <c r="I473" i="3"/>
  <c r="J473" i="3" s="1"/>
  <c r="I508" i="3"/>
  <c r="J508" i="3" s="1"/>
  <c r="I460" i="3"/>
  <c r="J460" i="3"/>
  <c r="I424" i="3"/>
  <c r="J424" i="3" s="1"/>
  <c r="I564" i="3"/>
  <c r="J564" i="3" s="1"/>
  <c r="I336" i="3"/>
  <c r="J336" i="3" s="1"/>
  <c r="I496" i="3"/>
  <c r="J496" i="3" s="1"/>
  <c r="I448" i="3"/>
  <c r="J448" i="3" s="1"/>
  <c r="I412" i="3"/>
  <c r="J412" i="3" s="1"/>
  <c r="I516" i="3"/>
  <c r="J516" i="3" s="1"/>
  <c r="I396" i="3"/>
  <c r="J396" i="3" s="1"/>
  <c r="I216" i="3"/>
  <c r="J216" i="3" s="1"/>
  <c r="I509" i="3"/>
  <c r="J509" i="3" s="1"/>
  <c r="I437" i="3"/>
  <c r="J437" i="3" s="1"/>
  <c r="I484" i="3"/>
  <c r="J484" i="3" s="1"/>
  <c r="I583" i="3"/>
  <c r="J583" i="3" s="1"/>
  <c r="I535" i="3"/>
  <c r="J535" i="3" s="1"/>
  <c r="I511" i="3"/>
  <c r="J511" i="3" s="1"/>
  <c r="I475" i="3"/>
  <c r="J475" i="3" s="1"/>
  <c r="I463" i="3"/>
  <c r="J463" i="3" s="1"/>
  <c r="I451" i="3"/>
  <c r="J451" i="3" s="1"/>
  <c r="I510" i="3"/>
  <c r="J510" i="3" s="1"/>
  <c r="I486" i="3"/>
  <c r="J486" i="3" s="1"/>
  <c r="I462" i="3"/>
  <c r="J462" i="3" s="1"/>
  <c r="I450" i="3"/>
  <c r="J450" i="3" s="1"/>
  <c r="I426" i="3"/>
  <c r="J426" i="3" s="1"/>
  <c r="I414" i="3"/>
  <c r="J414" i="3" s="1"/>
  <c r="I81" i="3"/>
  <c r="J81" i="3" s="1"/>
  <c r="I547" i="3"/>
  <c r="J547" i="3" s="1"/>
  <c r="I487" i="3"/>
  <c r="J487" i="3" s="1"/>
  <c r="I200" i="3"/>
  <c r="J200" i="3" s="1"/>
  <c r="I499" i="3"/>
  <c r="J499" i="3" s="1"/>
  <c r="I427" i="3"/>
  <c r="J427" i="3" s="1"/>
  <c r="I391" i="3"/>
  <c r="J391" i="3" s="1"/>
  <c r="I497" i="3"/>
  <c r="J497" i="3" s="1"/>
  <c r="I485" i="3"/>
  <c r="J485" i="3" s="1"/>
  <c r="I449" i="3"/>
  <c r="J449" i="3" s="1"/>
  <c r="I425" i="3"/>
  <c r="J425" i="3" s="1"/>
  <c r="I438" i="3"/>
  <c r="J438" i="3" s="1"/>
  <c r="I327" i="3"/>
  <c r="J327" i="3" s="1"/>
  <c r="I303" i="3"/>
  <c r="J303" i="3" s="1"/>
  <c r="I255" i="3"/>
  <c r="J255" i="3" s="1"/>
  <c r="I219" i="3"/>
  <c r="J219" i="3" s="1"/>
  <c r="I171" i="3"/>
  <c r="J171" i="3" s="1"/>
  <c r="I147" i="3"/>
  <c r="J147" i="3" s="1"/>
  <c r="I111" i="3"/>
  <c r="J111" i="3" s="1"/>
  <c r="I75" i="3"/>
  <c r="J75" i="3" s="1"/>
  <c r="I39" i="3"/>
  <c r="J39" i="3" s="1"/>
  <c r="I339" i="3"/>
  <c r="J339" i="3" s="1"/>
  <c r="I291" i="3"/>
  <c r="J291" i="3" s="1"/>
  <c r="I243" i="3"/>
  <c r="J243" i="3" s="1"/>
  <c r="I207" i="3"/>
  <c r="J207" i="3" s="1"/>
  <c r="I183" i="3"/>
  <c r="J183" i="3" s="1"/>
  <c r="I159" i="3"/>
  <c r="J159" i="3" s="1"/>
  <c r="I87" i="3"/>
  <c r="J87" i="3" s="1"/>
  <c r="I63" i="3"/>
  <c r="J63" i="3" s="1"/>
  <c r="I15" i="3"/>
  <c r="J15" i="3" s="1"/>
  <c r="I116" i="3"/>
  <c r="J116" i="3" s="1"/>
  <c r="I315" i="3"/>
  <c r="J315" i="3" s="1"/>
  <c r="I279" i="3"/>
  <c r="J279" i="3" s="1"/>
  <c r="I267" i="3"/>
  <c r="J267" i="3" s="1"/>
  <c r="I231" i="3"/>
  <c r="J231" i="3" s="1"/>
  <c r="I195" i="3"/>
  <c r="J195" i="3" s="1"/>
  <c r="I135" i="3"/>
  <c r="J135" i="3" s="1"/>
  <c r="I99" i="3"/>
  <c r="J99" i="3" s="1"/>
  <c r="I51" i="3"/>
  <c r="J51" i="3" s="1"/>
  <c r="I27" i="3"/>
  <c r="J27" i="3" s="1"/>
  <c r="I321" i="3"/>
  <c r="J321" i="3" s="1"/>
  <c r="I213" i="3"/>
  <c r="J213" i="3" s="1"/>
  <c r="I177" i="3"/>
  <c r="J177" i="3" s="1"/>
  <c r="I117" i="3"/>
  <c r="J117" i="3" s="1"/>
  <c r="I515" i="3"/>
  <c r="J515" i="3" s="1"/>
  <c r="I335" i="3"/>
  <c r="J335" i="3" s="1"/>
  <c r="I215" i="3"/>
  <c r="J215" i="3" s="1"/>
  <c r="I288" i="3"/>
  <c r="J288" i="3" s="1"/>
  <c r="I322" i="3"/>
  <c r="J322" i="3" s="1"/>
  <c r="I214" i="3"/>
  <c r="J214" i="3" s="1"/>
  <c r="I393" i="3"/>
  <c r="J393" i="3" s="1"/>
  <c r="I285" i="3"/>
  <c r="J285" i="3" s="1"/>
  <c r="I565" i="3"/>
  <c r="J565" i="3" s="1"/>
  <c r="I121" i="3"/>
  <c r="J121" i="3" s="1"/>
  <c r="I566" i="3"/>
  <c r="J566" i="3" s="1"/>
  <c r="I446" i="3"/>
  <c r="J446" i="3" s="1"/>
  <c r="I410" i="3"/>
  <c r="J410" i="3" s="1"/>
  <c r="I278" i="3"/>
  <c r="J278" i="3" s="1"/>
  <c r="I122" i="3"/>
  <c r="J122" i="3" s="1"/>
  <c r="I577" i="3"/>
  <c r="J577" i="3" s="1"/>
  <c r="I493" i="3"/>
  <c r="J493" i="3" s="1"/>
  <c r="I445" i="3"/>
  <c r="J445" i="3" s="1"/>
  <c r="I409" i="3"/>
  <c r="J409" i="3" s="1"/>
  <c r="I61" i="3"/>
  <c r="J61" i="3" s="1"/>
  <c r="I588" i="3"/>
  <c r="J588" i="3" s="1"/>
  <c r="I552" i="3"/>
  <c r="J552" i="3" s="1"/>
  <c r="I492" i="3"/>
  <c r="J492" i="3" s="1"/>
  <c r="I432" i="3"/>
  <c r="J432" i="3" s="1"/>
  <c r="I372" i="3"/>
  <c r="J372" i="3" s="1"/>
  <c r="I312" i="3"/>
  <c r="J312" i="3" s="1"/>
  <c r="I144" i="3"/>
  <c r="J144" i="3" s="1"/>
  <c r="I395" i="3"/>
  <c r="J395" i="3" s="1"/>
  <c r="I311" i="3"/>
  <c r="J311" i="3" s="1"/>
  <c r="I143" i="3"/>
  <c r="J143" i="3" s="1"/>
  <c r="I610" i="3"/>
  <c r="J610" i="3" s="1"/>
  <c r="I178" i="3"/>
  <c r="J178" i="3" s="1"/>
  <c r="I357" i="3"/>
  <c r="J357" i="3" s="1"/>
  <c r="I57" i="3"/>
  <c r="J57" i="3" s="1"/>
  <c r="I356" i="3"/>
  <c r="J356" i="3" s="1"/>
  <c r="I272" i="3"/>
  <c r="J272" i="3" s="1"/>
  <c r="I248" i="3"/>
  <c r="J248" i="3" s="1"/>
  <c r="I236" i="3"/>
  <c r="J236" i="3" s="1"/>
  <c r="I56" i="3"/>
  <c r="J56" i="3" s="1"/>
  <c r="I20" i="3"/>
  <c r="J20" i="3" s="1"/>
  <c r="I542" i="3"/>
  <c r="J542" i="3" s="1"/>
  <c r="I338" i="3"/>
  <c r="J338" i="3" s="1"/>
  <c r="I134" i="3"/>
  <c r="J134" i="3" s="1"/>
  <c r="I553" i="3"/>
  <c r="J553" i="3" s="1"/>
  <c r="I433" i="3"/>
  <c r="J433" i="3" s="1"/>
  <c r="I612" i="3"/>
  <c r="J612" i="3" s="1"/>
  <c r="I576" i="3"/>
  <c r="J576" i="3" s="1"/>
  <c r="I504" i="3"/>
  <c r="J504" i="3" s="1"/>
  <c r="I468" i="3"/>
  <c r="J468" i="3" s="1"/>
  <c r="I360" i="3"/>
  <c r="J360" i="3" s="1"/>
  <c r="I252" i="3"/>
  <c r="J252" i="3" s="1"/>
  <c r="I60" i="3"/>
  <c r="J60" i="3" s="1"/>
  <c r="I323" i="3"/>
  <c r="J323" i="3" s="1"/>
  <c r="I179" i="3"/>
  <c r="J179" i="3" s="1"/>
  <c r="I59" i="3"/>
  <c r="J59" i="3" s="1"/>
  <c r="I358" i="3"/>
  <c r="J358" i="3" s="1"/>
  <c r="I405" i="3"/>
  <c r="J405" i="3" s="1"/>
  <c r="I141" i="3"/>
  <c r="J141" i="3" s="1"/>
  <c r="I21" i="3"/>
  <c r="J21" i="3" s="1"/>
  <c r="I607" i="3"/>
  <c r="J607" i="3" s="1"/>
  <c r="I559" i="3"/>
  <c r="J559" i="3" s="1"/>
  <c r="I415" i="3"/>
  <c r="J415" i="3" s="1"/>
  <c r="I482" i="3"/>
  <c r="J482" i="3" s="1"/>
  <c r="I374" i="3"/>
  <c r="J374" i="3" s="1"/>
  <c r="I146" i="3"/>
  <c r="J146" i="3" s="1"/>
  <c r="I38" i="3"/>
  <c r="J38" i="3" s="1"/>
  <c r="I589" i="3"/>
  <c r="J589" i="3" s="1"/>
  <c r="I505" i="3"/>
  <c r="J505" i="3" s="1"/>
  <c r="I469" i="3"/>
  <c r="J469" i="3" s="1"/>
  <c r="I421" i="3"/>
  <c r="J421" i="3" s="1"/>
  <c r="I373" i="3"/>
  <c r="J373" i="3" s="1"/>
  <c r="I600" i="3"/>
  <c r="J600" i="3" s="1"/>
  <c r="I540" i="3"/>
  <c r="J540" i="3" s="1"/>
  <c r="I480" i="3"/>
  <c r="J480" i="3" s="1"/>
  <c r="I420" i="3"/>
  <c r="J420" i="3" s="1"/>
  <c r="I324" i="3"/>
  <c r="J324" i="3" s="1"/>
  <c r="I180" i="3"/>
  <c r="J180" i="3" s="1"/>
  <c r="I611" i="3"/>
  <c r="J611" i="3" s="1"/>
  <c r="I359" i="3"/>
  <c r="J359" i="3" s="1"/>
  <c r="I251" i="3"/>
  <c r="J251" i="3" s="1"/>
  <c r="I394" i="3"/>
  <c r="J394" i="3" s="1"/>
  <c r="I250" i="3"/>
  <c r="J250" i="3" s="1"/>
  <c r="I249" i="3"/>
  <c r="J249" i="3" s="1"/>
  <c r="I571" i="3"/>
  <c r="J571" i="3" s="1"/>
  <c r="I523" i="3"/>
  <c r="J523" i="3" s="1"/>
  <c r="I439" i="3"/>
  <c r="J439" i="3" s="1"/>
  <c r="I403" i="3"/>
  <c r="J403" i="3" s="1"/>
  <c r="I521" i="3"/>
  <c r="J521" i="3" s="1"/>
  <c r="I461" i="3"/>
  <c r="J461" i="3" s="1"/>
  <c r="I3" i="3"/>
  <c r="J3" i="3" s="1"/>
  <c r="I2" i="3"/>
  <c r="J2" i="3" s="1"/>
  <c r="I444" i="3"/>
  <c r="J444" i="3" s="1"/>
  <c r="I456" i="3"/>
  <c r="J456" i="3" s="1"/>
  <c r="I408" i="3"/>
  <c r="J408" i="3" s="1"/>
  <c r="I518" i="3"/>
  <c r="J518" i="3" s="1"/>
  <c r="I584" i="3"/>
  <c r="J584" i="3" s="1"/>
  <c r="I536" i="3"/>
  <c r="J536" i="3" s="1"/>
  <c r="I476" i="3"/>
  <c r="J476" i="3" s="1"/>
  <c r="I416" i="3"/>
  <c r="J416" i="3" s="1"/>
  <c r="I594" i="3"/>
  <c r="J594" i="3" s="1"/>
  <c r="I558" i="3"/>
  <c r="J558" i="3" s="1"/>
  <c r="I546" i="3"/>
  <c r="J546" i="3" s="1"/>
  <c r="I534" i="3"/>
  <c r="J534" i="3" s="1"/>
  <c r="I590" i="3"/>
  <c r="J590" i="3" s="1"/>
  <c r="I470" i="3"/>
  <c r="J470" i="3" s="1"/>
  <c r="I560" i="3"/>
  <c r="J560" i="3" s="1"/>
  <c r="I512" i="3"/>
  <c r="J512" i="3" s="1"/>
  <c r="I452" i="3"/>
  <c r="J452" i="3" s="1"/>
  <c r="I404" i="3"/>
  <c r="J404" i="3" s="1"/>
  <c r="I606" i="3"/>
  <c r="J606" i="3" s="1"/>
  <c r="I570" i="3"/>
  <c r="J570" i="3" s="1"/>
  <c r="I593" i="3"/>
  <c r="J593" i="3" s="1"/>
  <c r="I569" i="3"/>
  <c r="J569" i="3" s="1"/>
  <c r="I533" i="3"/>
  <c r="J533" i="3" s="1"/>
  <c r="I608" i="3"/>
  <c r="J608" i="3" s="1"/>
  <c r="I548" i="3"/>
  <c r="J548" i="3" s="1"/>
  <c r="I500" i="3"/>
  <c r="J500" i="3" s="1"/>
  <c r="I464" i="3"/>
  <c r="J464" i="3" s="1"/>
  <c r="I428" i="3"/>
  <c r="J428" i="3" s="1"/>
  <c r="I392" i="3"/>
  <c r="J392" i="3" s="1"/>
  <c r="I582" i="3"/>
  <c r="J582" i="3" s="1"/>
  <c r="I605" i="3"/>
  <c r="J605" i="3" s="1"/>
  <c r="I581" i="3"/>
  <c r="J581" i="3" s="1"/>
  <c r="I557" i="3"/>
  <c r="J557" i="3" s="1"/>
  <c r="I545" i="3"/>
  <c r="J545" i="3" s="1"/>
  <c r="I604" i="3"/>
  <c r="J604" i="3" s="1"/>
  <c r="I592" i="3"/>
  <c r="J592" i="3" s="1"/>
  <c r="I580" i="3"/>
  <c r="J580" i="3" s="1"/>
  <c r="I568" i="3"/>
  <c r="J568" i="3" s="1"/>
  <c r="I556" i="3"/>
  <c r="J556" i="3" s="1"/>
  <c r="I544" i="3"/>
  <c r="J544" i="3" s="1"/>
  <c r="I481" i="3"/>
  <c r="J481" i="3" s="1"/>
  <c r="I530" i="3"/>
  <c r="J530" i="3" s="1"/>
  <c r="I596" i="3"/>
  <c r="J596" i="3" s="1"/>
  <c r="I572" i="3"/>
  <c r="J572" i="3" s="1"/>
  <c r="I524" i="3"/>
  <c r="J524" i="3" s="1"/>
  <c r="I488" i="3"/>
  <c r="J488" i="3" s="1"/>
  <c r="I440" i="3"/>
  <c r="J440" i="3" s="1"/>
  <c r="I603" i="3"/>
  <c r="J603" i="3" s="1"/>
  <c r="I591" i="3"/>
  <c r="J591" i="3" s="1"/>
  <c r="I579" i="3"/>
  <c r="J579" i="3" s="1"/>
  <c r="I567" i="3"/>
  <c r="J567" i="3" s="1"/>
  <c r="I555" i="3"/>
  <c r="J555" i="3" s="1"/>
  <c r="I543" i="3"/>
  <c r="J543" i="3" s="1"/>
  <c r="I531" i="3"/>
  <c r="J531" i="3" s="1"/>
  <c r="I519" i="3"/>
  <c r="J519" i="3" s="1"/>
  <c r="I507" i="3"/>
  <c r="J507" i="3" s="1"/>
  <c r="I495" i="3"/>
  <c r="J495" i="3" s="1"/>
  <c r="I483" i="3"/>
  <c r="J483" i="3" s="1"/>
  <c r="I471" i="3"/>
  <c r="J471" i="3" s="1"/>
  <c r="I459" i="3"/>
  <c r="J459" i="3" s="1"/>
  <c r="I447" i="3"/>
  <c r="J447" i="3" s="1"/>
  <c r="I435" i="3"/>
  <c r="J435" i="3" s="1"/>
  <c r="I423" i="3"/>
  <c r="J423" i="3" s="1"/>
  <c r="I411" i="3"/>
  <c r="J411" i="3" s="1"/>
  <c r="I399" i="3"/>
  <c r="J399" i="3" s="1"/>
  <c r="I387" i="3"/>
  <c r="J387" i="3" s="1"/>
  <c r="I363" i="3"/>
  <c r="J363" i="3" s="1"/>
  <c r="I398" i="3"/>
  <c r="J398" i="3" s="1"/>
  <c r="I326" i="3"/>
  <c r="J326" i="3" s="1"/>
  <c r="I266" i="3"/>
  <c r="J266" i="3" s="1"/>
  <c r="I194" i="3"/>
  <c r="J194" i="3" s="1"/>
  <c r="I158" i="3"/>
  <c r="J158" i="3" s="1"/>
  <c r="I86" i="3"/>
  <c r="J86" i="3" s="1"/>
  <c r="I26" i="3"/>
  <c r="J26" i="3" s="1"/>
  <c r="I541" i="3"/>
  <c r="J541" i="3" s="1"/>
  <c r="I602" i="3"/>
  <c r="J602" i="3" s="1"/>
  <c r="I494" i="3"/>
  <c r="J494" i="3" s="1"/>
  <c r="I350" i="3"/>
  <c r="J350" i="3" s="1"/>
  <c r="I230" i="3"/>
  <c r="J230" i="3" s="1"/>
  <c r="I170" i="3"/>
  <c r="J170" i="3" s="1"/>
  <c r="I110" i="3"/>
  <c r="J110" i="3" s="1"/>
  <c r="I62" i="3"/>
  <c r="J62" i="3" s="1"/>
  <c r="I50" i="3"/>
  <c r="J50" i="3" s="1"/>
  <c r="I397" i="3"/>
  <c r="J397" i="3" s="1"/>
  <c r="I349" i="3"/>
  <c r="J349" i="3" s="1"/>
  <c r="I289" i="3"/>
  <c r="J289" i="3" s="1"/>
  <c r="I265" i="3"/>
  <c r="J265" i="3" s="1"/>
  <c r="I205" i="3"/>
  <c r="J205" i="3" s="1"/>
  <c r="I157" i="3"/>
  <c r="J157" i="3" s="1"/>
  <c r="I133" i="3"/>
  <c r="J133" i="3" s="1"/>
  <c r="I85" i="3"/>
  <c r="J85" i="3" s="1"/>
  <c r="I37" i="3"/>
  <c r="J37" i="3" s="1"/>
  <c r="I422" i="3"/>
  <c r="J422" i="3" s="1"/>
  <c r="I362" i="3"/>
  <c r="J362" i="3" s="1"/>
  <c r="I290" i="3"/>
  <c r="J290" i="3" s="1"/>
  <c r="I206" i="3"/>
  <c r="J206" i="3" s="1"/>
  <c r="I98" i="3"/>
  <c r="J98" i="3" s="1"/>
  <c r="I385" i="3"/>
  <c r="J385" i="3" s="1"/>
  <c r="I325" i="3"/>
  <c r="J325" i="3" s="1"/>
  <c r="I241" i="3"/>
  <c r="J241" i="3" s="1"/>
  <c r="I181" i="3"/>
  <c r="J181" i="3" s="1"/>
  <c r="I109" i="3"/>
  <c r="J109" i="3" s="1"/>
  <c r="I49" i="3"/>
  <c r="J49" i="3" s="1"/>
  <c r="I601" i="3"/>
  <c r="J601" i="3" s="1"/>
  <c r="I529" i="3"/>
  <c r="J529" i="3" s="1"/>
  <c r="I457" i="3"/>
  <c r="J457" i="3" s="1"/>
  <c r="I380" i="3"/>
  <c r="J380" i="3" s="1"/>
  <c r="I554" i="3"/>
  <c r="J554" i="3" s="1"/>
  <c r="I458" i="3"/>
  <c r="J458" i="3" s="1"/>
  <c r="I386" i="3"/>
  <c r="J386" i="3" s="1"/>
  <c r="I302" i="3"/>
  <c r="J302" i="3" s="1"/>
  <c r="I218" i="3"/>
  <c r="J218" i="3" s="1"/>
  <c r="I74" i="3"/>
  <c r="J74" i="3" s="1"/>
  <c r="I14" i="3"/>
  <c r="J14" i="3" s="1"/>
  <c r="I337" i="3"/>
  <c r="J337" i="3" s="1"/>
  <c r="I277" i="3"/>
  <c r="J277" i="3" s="1"/>
  <c r="I217" i="3"/>
  <c r="J217" i="3" s="1"/>
  <c r="I145" i="3"/>
  <c r="J145" i="3" s="1"/>
  <c r="I97" i="3"/>
  <c r="J97" i="3" s="1"/>
  <c r="I25" i="3"/>
  <c r="J25" i="3" s="1"/>
  <c r="I575" i="3"/>
  <c r="J575" i="3" s="1"/>
  <c r="I479" i="3"/>
  <c r="J479" i="3" s="1"/>
  <c r="I455" i="3"/>
  <c r="J455" i="3" s="1"/>
  <c r="I419" i="3"/>
  <c r="J419" i="3" s="1"/>
  <c r="I383" i="3"/>
  <c r="J383" i="3" s="1"/>
  <c r="I371" i="3"/>
  <c r="J371" i="3" s="1"/>
  <c r="I528" i="3"/>
  <c r="J528" i="3" s="1"/>
  <c r="I375" i="3"/>
  <c r="J375" i="3" s="1"/>
  <c r="I578" i="3"/>
  <c r="J578" i="3" s="1"/>
  <c r="I254" i="3"/>
  <c r="J254" i="3" s="1"/>
  <c r="I313" i="3"/>
  <c r="J313" i="3" s="1"/>
  <c r="I229" i="3"/>
  <c r="J229" i="3" s="1"/>
  <c r="I169" i="3"/>
  <c r="J169" i="3" s="1"/>
  <c r="I599" i="3"/>
  <c r="J599" i="3" s="1"/>
  <c r="I563" i="3"/>
  <c r="J563" i="3" s="1"/>
  <c r="I539" i="3"/>
  <c r="J539" i="3" s="1"/>
  <c r="I491" i="3"/>
  <c r="J491" i="3" s="1"/>
  <c r="I431" i="3"/>
  <c r="J431" i="3" s="1"/>
  <c r="I586" i="3"/>
  <c r="J586" i="3" s="1"/>
  <c r="I574" i="3"/>
  <c r="J574" i="3" s="1"/>
  <c r="I562" i="3"/>
  <c r="J562" i="3" s="1"/>
  <c r="I550" i="3"/>
  <c r="J550" i="3" s="1"/>
  <c r="I538" i="3"/>
  <c r="J538" i="3" s="1"/>
  <c r="I526" i="3"/>
  <c r="J526" i="3" s="1"/>
  <c r="I514" i="3"/>
  <c r="J514" i="3" s="1"/>
  <c r="I502" i="3"/>
  <c r="J502" i="3" s="1"/>
  <c r="I490" i="3"/>
  <c r="J490" i="3" s="1"/>
  <c r="I478" i="3"/>
  <c r="J478" i="3" s="1"/>
  <c r="I466" i="3"/>
  <c r="J466" i="3" s="1"/>
  <c r="I454" i="3"/>
  <c r="J454" i="3" s="1"/>
  <c r="I442" i="3"/>
  <c r="J442" i="3" s="1"/>
  <c r="I430" i="3"/>
  <c r="J430" i="3" s="1"/>
  <c r="I418" i="3"/>
  <c r="J418" i="3" s="1"/>
  <c r="I517" i="3"/>
  <c r="J517" i="3" s="1"/>
  <c r="I506" i="3"/>
  <c r="J506" i="3" s="1"/>
  <c r="I434" i="3"/>
  <c r="J434" i="3" s="1"/>
  <c r="I314" i="3"/>
  <c r="J314" i="3" s="1"/>
  <c r="I242" i="3"/>
  <c r="J242" i="3" s="1"/>
  <c r="I182" i="3"/>
  <c r="J182" i="3" s="1"/>
  <c r="I361" i="3"/>
  <c r="J361" i="3" s="1"/>
  <c r="I301" i="3"/>
  <c r="J301" i="3" s="1"/>
  <c r="I253" i="3"/>
  <c r="J253" i="3" s="1"/>
  <c r="I193" i="3"/>
  <c r="J193" i="3" s="1"/>
  <c r="I73" i="3"/>
  <c r="J73" i="3" s="1"/>
  <c r="I13" i="3"/>
  <c r="J13" i="3" s="1"/>
  <c r="I587" i="3"/>
  <c r="J587" i="3" s="1"/>
  <c r="I551" i="3"/>
  <c r="J551" i="3" s="1"/>
  <c r="I527" i="3"/>
  <c r="J527" i="3" s="1"/>
  <c r="I503" i="3"/>
  <c r="J503" i="3" s="1"/>
  <c r="I467" i="3"/>
  <c r="J467" i="3" s="1"/>
  <c r="I443" i="3"/>
  <c r="J443" i="3" s="1"/>
  <c r="I407" i="3"/>
  <c r="J407" i="3" s="1"/>
  <c r="I598" i="3"/>
  <c r="J598" i="3" s="1"/>
  <c r="I609" i="3"/>
  <c r="J609" i="3" s="1"/>
  <c r="I597" i="3"/>
  <c r="J597" i="3" s="1"/>
  <c r="I585" i="3"/>
  <c r="J585" i="3" s="1"/>
  <c r="I573" i="3"/>
  <c r="J573" i="3" s="1"/>
  <c r="I561" i="3"/>
  <c r="J561" i="3" s="1"/>
  <c r="J549" i="3"/>
  <c r="I537" i="3"/>
  <c r="J537" i="3" s="1"/>
  <c r="I525" i="3"/>
  <c r="J525" i="3" s="1"/>
  <c r="I513" i="3"/>
  <c r="J513" i="3" s="1"/>
  <c r="I501" i="3"/>
  <c r="J501" i="3" s="1"/>
  <c r="I489" i="3"/>
  <c r="J489" i="3" s="1"/>
  <c r="I477" i="3"/>
  <c r="J477" i="3" s="1"/>
  <c r="I465" i="3"/>
  <c r="J465" i="3" s="1"/>
  <c r="I453" i="3"/>
  <c r="J453" i="3" s="1"/>
  <c r="I441" i="3"/>
  <c r="J441" i="3" s="1"/>
  <c r="I429" i="3"/>
  <c r="J429" i="3" s="1"/>
  <c r="I417" i="3"/>
  <c r="J417" i="3" s="1"/>
  <c r="I120" i="3"/>
  <c r="J120" i="3" s="1"/>
  <c r="I406" i="3"/>
  <c r="J406" i="3" s="1"/>
  <c r="I119" i="3"/>
  <c r="J119" i="3" s="1"/>
  <c r="I36" i="3"/>
  <c r="J36" i="3" s="1"/>
  <c r="I142" i="3"/>
  <c r="J142" i="3" s="1"/>
  <c r="I130" i="3"/>
  <c r="J130" i="3" s="1"/>
  <c r="I118" i="3"/>
  <c r="J118" i="3" s="1"/>
  <c r="I106" i="3"/>
  <c r="J106" i="3" s="1"/>
  <c r="I94" i="3"/>
  <c r="J94" i="3" s="1"/>
  <c r="I82" i="3"/>
  <c r="J82" i="3" s="1"/>
  <c r="I70" i="3"/>
  <c r="J70" i="3" s="1"/>
  <c r="I58" i="3"/>
  <c r="J58" i="3" s="1"/>
  <c r="I46" i="3"/>
  <c r="J46" i="3" s="1"/>
  <c r="I34" i="3"/>
  <c r="J34" i="3" s="1"/>
  <c r="I22" i="3"/>
  <c r="J22" i="3" s="1"/>
  <c r="I10" i="3"/>
  <c r="J10" i="3" s="1"/>
  <c r="I300" i="3"/>
  <c r="J300" i="3" s="1"/>
  <c r="I264" i="3"/>
  <c r="J264" i="3" s="1"/>
  <c r="I228" i="3"/>
  <c r="J228" i="3" s="1"/>
  <c r="I192" i="3"/>
  <c r="J192" i="3" s="1"/>
  <c r="I156" i="3"/>
  <c r="J156" i="3" s="1"/>
  <c r="I96" i="3"/>
  <c r="J96" i="3" s="1"/>
  <c r="I35" i="3"/>
  <c r="J35" i="3" s="1"/>
  <c r="I351" i="3"/>
  <c r="J351" i="3" s="1"/>
  <c r="I299" i="3"/>
  <c r="J299" i="3" s="1"/>
  <c r="I263" i="3"/>
  <c r="J263" i="3" s="1"/>
  <c r="I227" i="3"/>
  <c r="J227" i="3" s="1"/>
  <c r="I191" i="3"/>
  <c r="J191" i="3" s="1"/>
  <c r="I155" i="3"/>
  <c r="J155" i="3" s="1"/>
  <c r="I95" i="3"/>
  <c r="J95" i="3" s="1"/>
  <c r="I33" i="3"/>
  <c r="J33" i="3" s="1"/>
  <c r="I12" i="3"/>
  <c r="J12" i="3" s="1"/>
  <c r="I595" i="3"/>
  <c r="J595" i="3" s="1"/>
  <c r="I370" i="3"/>
  <c r="J370" i="3" s="1"/>
  <c r="I334" i="3"/>
  <c r="J334" i="3" s="1"/>
  <c r="I298" i="3"/>
  <c r="J298" i="3" s="1"/>
  <c r="I262" i="3"/>
  <c r="J262" i="3" s="1"/>
  <c r="I226" i="3"/>
  <c r="J226" i="3" s="1"/>
  <c r="I190" i="3"/>
  <c r="J190" i="3" s="1"/>
  <c r="I154" i="3"/>
  <c r="J154" i="3" s="1"/>
  <c r="I93" i="3"/>
  <c r="J93" i="3" s="1"/>
  <c r="I72" i="3"/>
  <c r="J72" i="3" s="1"/>
  <c r="I32" i="3"/>
  <c r="J32" i="3" s="1"/>
  <c r="I11" i="3"/>
  <c r="J11" i="3" s="1"/>
  <c r="I379" i="3"/>
  <c r="J379" i="3" s="1"/>
  <c r="I367" i="3"/>
  <c r="J367" i="3" s="1"/>
  <c r="I355" i="3"/>
  <c r="J355" i="3" s="1"/>
  <c r="I343" i="3"/>
  <c r="J343" i="3" s="1"/>
  <c r="I331" i="3"/>
  <c r="J331" i="3" s="1"/>
  <c r="I319" i="3"/>
  <c r="J319" i="3" s="1"/>
  <c r="I307" i="3"/>
  <c r="J307" i="3" s="1"/>
  <c r="I295" i="3"/>
  <c r="J295" i="3" s="1"/>
  <c r="I283" i="3"/>
  <c r="J283" i="3" s="1"/>
  <c r="I271" i="3"/>
  <c r="J271" i="3" s="1"/>
  <c r="I259" i="3"/>
  <c r="J259" i="3" s="1"/>
  <c r="I247" i="3"/>
  <c r="J247" i="3" s="1"/>
  <c r="I235" i="3"/>
  <c r="J235" i="3" s="1"/>
  <c r="I223" i="3"/>
  <c r="J223" i="3" s="1"/>
  <c r="I211" i="3"/>
  <c r="J211" i="3" s="1"/>
  <c r="I199" i="3"/>
  <c r="J199" i="3" s="1"/>
  <c r="I187" i="3"/>
  <c r="J187" i="3" s="1"/>
  <c r="I175" i="3"/>
  <c r="J175" i="3" s="1"/>
  <c r="I163" i="3"/>
  <c r="J163" i="3" s="1"/>
  <c r="I151" i="3"/>
  <c r="J151" i="3" s="1"/>
  <c r="I139" i="3"/>
  <c r="J139" i="3" s="1"/>
  <c r="I127" i="3"/>
  <c r="J127" i="3" s="1"/>
  <c r="I115" i="3"/>
  <c r="J115" i="3" s="1"/>
  <c r="I103" i="3"/>
  <c r="J103" i="3" s="1"/>
  <c r="I91" i="3"/>
  <c r="J91" i="3" s="1"/>
  <c r="I79" i="3"/>
  <c r="J79" i="3" s="1"/>
  <c r="I67" i="3"/>
  <c r="J67" i="3" s="1"/>
  <c r="I55" i="3"/>
  <c r="J55" i="3" s="1"/>
  <c r="I43" i="3"/>
  <c r="J43" i="3" s="1"/>
  <c r="I31" i="3"/>
  <c r="J31" i="3" s="1"/>
  <c r="I19" i="3"/>
  <c r="J19" i="3" s="1"/>
  <c r="I7" i="3"/>
  <c r="J7" i="3" s="1"/>
  <c r="I522" i="3"/>
  <c r="J522" i="3" s="1"/>
  <c r="I369" i="3"/>
  <c r="J369" i="3" s="1"/>
  <c r="I333" i="3"/>
  <c r="J333" i="3" s="1"/>
  <c r="I297" i="3"/>
  <c r="J297" i="3" s="1"/>
  <c r="I261" i="3"/>
  <c r="J261" i="3" s="1"/>
  <c r="I225" i="3"/>
  <c r="J225" i="3" s="1"/>
  <c r="I189" i="3"/>
  <c r="J189" i="3" s="1"/>
  <c r="I153" i="3"/>
  <c r="J153" i="3" s="1"/>
  <c r="I132" i="3"/>
  <c r="J132" i="3" s="1"/>
  <c r="I92" i="3"/>
  <c r="J92" i="3" s="1"/>
  <c r="I71" i="3"/>
  <c r="J71" i="3" s="1"/>
  <c r="I9" i="3"/>
  <c r="J9" i="3" s="1"/>
  <c r="I390" i="3"/>
  <c r="J390" i="3" s="1"/>
  <c r="I378" i="3"/>
  <c r="J378" i="3" s="1"/>
  <c r="I366" i="3"/>
  <c r="J366" i="3" s="1"/>
  <c r="I354" i="3"/>
  <c r="J354" i="3" s="1"/>
  <c r="I342" i="3"/>
  <c r="J342" i="3" s="1"/>
  <c r="I318" i="3"/>
  <c r="J318" i="3" s="1"/>
  <c r="I306" i="3"/>
  <c r="J306" i="3" s="1"/>
  <c r="I294" i="3"/>
  <c r="J294" i="3" s="1"/>
  <c r="I282" i="3"/>
  <c r="J282" i="3" s="1"/>
  <c r="I270" i="3"/>
  <c r="J270" i="3" s="1"/>
  <c r="I258" i="3"/>
  <c r="J258" i="3" s="1"/>
  <c r="I246" i="3"/>
  <c r="J246" i="3" s="1"/>
  <c r="I234" i="3"/>
  <c r="J234" i="3" s="1"/>
  <c r="I222" i="3"/>
  <c r="J222" i="3" s="1"/>
  <c r="I210" i="3"/>
  <c r="J210" i="3" s="1"/>
  <c r="I198" i="3"/>
  <c r="J198" i="3" s="1"/>
  <c r="I186" i="3"/>
  <c r="J186" i="3" s="1"/>
  <c r="I174" i="3"/>
  <c r="J174" i="3" s="1"/>
  <c r="I162" i="3"/>
  <c r="J162" i="3" s="1"/>
  <c r="I150" i="3"/>
  <c r="J150" i="3" s="1"/>
  <c r="I138" i="3"/>
  <c r="J138" i="3" s="1"/>
  <c r="I126" i="3"/>
  <c r="J126" i="3" s="1"/>
  <c r="I114" i="3"/>
  <c r="J114" i="3" s="1"/>
  <c r="I102" i="3"/>
  <c r="J102" i="3" s="1"/>
  <c r="I90" i="3"/>
  <c r="J90" i="3" s="1"/>
  <c r="I78" i="3"/>
  <c r="J78" i="3" s="1"/>
  <c r="I66" i="3"/>
  <c r="J66" i="3" s="1"/>
  <c r="I54" i="3"/>
  <c r="J54" i="3" s="1"/>
  <c r="I42" i="3"/>
  <c r="J42" i="3" s="1"/>
  <c r="I30" i="3"/>
  <c r="J30" i="3" s="1"/>
  <c r="I18" i="3"/>
  <c r="J18" i="3" s="1"/>
  <c r="I6" i="3"/>
  <c r="J6" i="3" s="1"/>
  <c r="I384" i="3"/>
  <c r="J384" i="3" s="1"/>
  <c r="I368" i="3"/>
  <c r="J368" i="3" s="1"/>
  <c r="I348" i="3"/>
  <c r="J348" i="3" s="1"/>
  <c r="I332" i="3"/>
  <c r="J332" i="3" s="1"/>
  <c r="I296" i="3"/>
  <c r="J296" i="3" s="1"/>
  <c r="I276" i="3"/>
  <c r="J276" i="3" s="1"/>
  <c r="I260" i="3"/>
  <c r="J260" i="3" s="1"/>
  <c r="I240" i="3"/>
  <c r="J240" i="3" s="1"/>
  <c r="I224" i="3"/>
  <c r="J224" i="3" s="1"/>
  <c r="I204" i="3"/>
  <c r="J204" i="3" s="1"/>
  <c r="I188" i="3"/>
  <c r="J188" i="3" s="1"/>
  <c r="I168" i="3"/>
  <c r="J168" i="3" s="1"/>
  <c r="I152" i="3"/>
  <c r="J152" i="3" s="1"/>
  <c r="I131" i="3"/>
  <c r="J131" i="3" s="1"/>
  <c r="I69" i="3"/>
  <c r="J69" i="3" s="1"/>
  <c r="I48" i="3"/>
  <c r="J48" i="3" s="1"/>
  <c r="I8" i="3"/>
  <c r="J8" i="3" s="1"/>
  <c r="I401" i="3"/>
  <c r="J401" i="3" s="1"/>
  <c r="I389" i="3"/>
  <c r="J389" i="3" s="1"/>
  <c r="I377" i="3"/>
  <c r="J377" i="3" s="1"/>
  <c r="I365" i="3"/>
  <c r="J365" i="3" s="1"/>
  <c r="I353" i="3"/>
  <c r="J353" i="3" s="1"/>
  <c r="I341" i="3"/>
  <c r="J341" i="3" s="1"/>
  <c r="I329" i="3"/>
  <c r="J329" i="3" s="1"/>
  <c r="I317" i="3"/>
  <c r="J317" i="3" s="1"/>
  <c r="I305" i="3"/>
  <c r="J305" i="3" s="1"/>
  <c r="I293" i="3"/>
  <c r="J293" i="3" s="1"/>
  <c r="I281" i="3"/>
  <c r="J281" i="3" s="1"/>
  <c r="I269" i="3"/>
  <c r="J269" i="3" s="1"/>
  <c r="I257" i="3"/>
  <c r="J257" i="3" s="1"/>
  <c r="I245" i="3"/>
  <c r="J245" i="3" s="1"/>
  <c r="I233" i="3"/>
  <c r="J233" i="3" s="1"/>
  <c r="I221" i="3"/>
  <c r="J221" i="3" s="1"/>
  <c r="I209" i="3"/>
  <c r="J209" i="3" s="1"/>
  <c r="I197" i="3"/>
  <c r="J197" i="3" s="1"/>
  <c r="I185" i="3"/>
  <c r="J185" i="3" s="1"/>
  <c r="I173" i="3"/>
  <c r="J173" i="3" s="1"/>
  <c r="I161" i="3"/>
  <c r="J161" i="3" s="1"/>
  <c r="I149" i="3"/>
  <c r="J149" i="3" s="1"/>
  <c r="I137" i="3"/>
  <c r="J137" i="3" s="1"/>
  <c r="I125" i="3"/>
  <c r="J125" i="3" s="1"/>
  <c r="I113" i="3"/>
  <c r="J113" i="3" s="1"/>
  <c r="I101" i="3"/>
  <c r="J101" i="3" s="1"/>
  <c r="I89" i="3"/>
  <c r="J89" i="3" s="1"/>
  <c r="I77" i="3"/>
  <c r="J77" i="3" s="1"/>
  <c r="I65" i="3"/>
  <c r="J65" i="3" s="1"/>
  <c r="I53" i="3"/>
  <c r="J53" i="3" s="1"/>
  <c r="I41" i="3"/>
  <c r="J41" i="3" s="1"/>
  <c r="I29" i="3"/>
  <c r="J29" i="3" s="1"/>
  <c r="I17" i="3"/>
  <c r="J17" i="3" s="1"/>
  <c r="I5" i="3"/>
  <c r="J5" i="3" s="1"/>
  <c r="I532" i="3"/>
  <c r="J532" i="3" s="1"/>
  <c r="I347" i="3"/>
  <c r="J347" i="3" s="1"/>
  <c r="I275" i="3"/>
  <c r="J275" i="3" s="1"/>
  <c r="I239" i="3"/>
  <c r="J239" i="3" s="1"/>
  <c r="I203" i="3"/>
  <c r="J203" i="3" s="1"/>
  <c r="I167" i="3"/>
  <c r="J167" i="3" s="1"/>
  <c r="I129" i="3"/>
  <c r="J129" i="3" s="1"/>
  <c r="I108" i="3"/>
  <c r="J108" i="3" s="1"/>
  <c r="I68" i="3"/>
  <c r="J68" i="3" s="1"/>
  <c r="I47" i="3"/>
  <c r="J47" i="3" s="1"/>
  <c r="I400" i="3"/>
  <c r="J400" i="3" s="1"/>
  <c r="I388" i="3"/>
  <c r="J388" i="3" s="1"/>
  <c r="I376" i="3"/>
  <c r="J376" i="3" s="1"/>
  <c r="I364" i="3"/>
  <c r="J364" i="3" s="1"/>
  <c r="I352" i="3"/>
  <c r="J352" i="3" s="1"/>
  <c r="I340" i="3"/>
  <c r="J340" i="3" s="1"/>
  <c r="I328" i="3"/>
  <c r="J328" i="3" s="1"/>
  <c r="I316" i="3"/>
  <c r="J316" i="3" s="1"/>
  <c r="I304" i="3"/>
  <c r="J304" i="3" s="1"/>
  <c r="I292" i="3"/>
  <c r="J292" i="3" s="1"/>
  <c r="I280" i="3"/>
  <c r="J280" i="3" s="1"/>
  <c r="I268" i="3"/>
  <c r="J268" i="3" s="1"/>
  <c r="I256" i="3"/>
  <c r="J256" i="3" s="1"/>
  <c r="I244" i="3"/>
  <c r="J244" i="3" s="1"/>
  <c r="I232" i="3"/>
  <c r="J232" i="3" s="1"/>
  <c r="I220" i="3"/>
  <c r="J220" i="3" s="1"/>
  <c r="I208" i="3"/>
  <c r="J208" i="3" s="1"/>
  <c r="I196" i="3"/>
  <c r="J196" i="3" s="1"/>
  <c r="I184" i="3"/>
  <c r="J184" i="3" s="1"/>
  <c r="I172" i="3"/>
  <c r="J172" i="3" s="1"/>
  <c r="I160" i="3"/>
  <c r="J160" i="3" s="1"/>
  <c r="I148" i="3"/>
  <c r="J148" i="3" s="1"/>
  <c r="I136" i="3"/>
  <c r="J136" i="3" s="1"/>
  <c r="I124" i="3"/>
  <c r="J124" i="3" s="1"/>
  <c r="I112" i="3"/>
  <c r="J112" i="3" s="1"/>
  <c r="I100" i="3"/>
  <c r="J100" i="3" s="1"/>
  <c r="I88" i="3"/>
  <c r="J88" i="3" s="1"/>
  <c r="I76" i="3"/>
  <c r="J76" i="3" s="1"/>
  <c r="I64" i="3"/>
  <c r="J64" i="3" s="1"/>
  <c r="I52" i="3"/>
  <c r="J52" i="3" s="1"/>
  <c r="I40" i="3"/>
  <c r="J40" i="3" s="1"/>
  <c r="I28" i="3"/>
  <c r="J28" i="3" s="1"/>
  <c r="I16" i="3"/>
  <c r="J16" i="3" s="1"/>
  <c r="I4" i="3"/>
  <c r="J4" i="3" s="1"/>
  <c r="I382" i="3"/>
  <c r="J382" i="3" s="1"/>
  <c r="I346" i="3"/>
  <c r="J346" i="3" s="1"/>
  <c r="I310" i="3"/>
  <c r="J310" i="3" s="1"/>
  <c r="I274" i="3"/>
  <c r="J274" i="3" s="1"/>
  <c r="I238" i="3"/>
  <c r="J238" i="3" s="1"/>
  <c r="I202" i="3"/>
  <c r="J202" i="3" s="1"/>
  <c r="I166" i="3"/>
  <c r="J166" i="3" s="1"/>
  <c r="I128" i="3"/>
  <c r="J128" i="3" s="1"/>
  <c r="I107" i="3"/>
  <c r="J107" i="3" s="1"/>
  <c r="I45" i="3"/>
  <c r="J45" i="3" s="1"/>
  <c r="I24" i="3"/>
  <c r="J24" i="3" s="1"/>
  <c r="I381" i="3"/>
  <c r="J381" i="3" s="1"/>
  <c r="I345" i="3"/>
  <c r="J345" i="3" s="1"/>
  <c r="I309" i="3"/>
  <c r="J309" i="3" s="1"/>
  <c r="I273" i="3"/>
  <c r="J273" i="3" s="1"/>
  <c r="I237" i="3"/>
  <c r="J237" i="3" s="1"/>
  <c r="I201" i="3"/>
  <c r="J201" i="3" s="1"/>
  <c r="I165" i="3"/>
  <c r="J165" i="3" s="1"/>
  <c r="I123" i="3"/>
  <c r="J123" i="3" s="1"/>
  <c r="I105" i="3"/>
  <c r="J105" i="3" s="1"/>
  <c r="I84" i="3"/>
  <c r="J84" i="3" s="1"/>
  <c r="I44" i="3"/>
  <c r="J44" i="3" s="1"/>
  <c r="I23" i="3"/>
  <c r="J23" i="3" s="1"/>
  <c r="H8" i="1"/>
  <c r="I39" i="1" s="1"/>
</calcChain>
</file>

<file path=xl/sharedStrings.xml><?xml version="1.0" encoding="utf-8"?>
<sst xmlns="http://schemas.openxmlformats.org/spreadsheetml/2006/main" count="2713" uniqueCount="763">
  <si>
    <t>Indikator</t>
  </si>
  <si>
    <t>Strategi Pelaksanaan RB General</t>
  </si>
  <si>
    <t>Bobot</t>
  </si>
  <si>
    <t>Rencana Aksi Pembangunan RB General</t>
  </si>
  <si>
    <t>Tingkat Implementasi Rencana Aksi RB General</t>
  </si>
  <si>
    <t>Capaian IKU</t>
  </si>
  <si>
    <t>Kinerja Agen Perubahan</t>
  </si>
  <si>
    <t>Capaian Sasaran Strategis Reformasi Birokrasi</t>
  </si>
  <si>
    <t>IGA (Innovative Government Award)</t>
  </si>
  <si>
    <t>Indeks Kepuasan Masyarakat</t>
  </si>
  <si>
    <t>KOVABLIK (Kompetisi Inovasi Pelayanan Publik)</t>
  </si>
  <si>
    <t>IPP (Indeks Pelayanan Publik)</t>
  </si>
  <si>
    <t>Percepatan Pelaksanaan APBD</t>
  </si>
  <si>
    <t>Monitoring dan Evaluasi Pembangunan</t>
  </si>
  <si>
    <t>Anggaran Responsif Gender</t>
  </si>
  <si>
    <t>E-Purchasing</t>
  </si>
  <si>
    <t>E-Kontrak</t>
  </si>
  <si>
    <t>Toko Daring</t>
  </si>
  <si>
    <t>Non E-Tendering dan Non E-Purchasing</t>
  </si>
  <si>
    <t>E-Katalog</t>
  </si>
  <si>
    <t>Arsitektur SPBE</t>
  </si>
  <si>
    <t>Evaluasi Ketatalaksanaan Pemerintahan</t>
  </si>
  <si>
    <t>Indeks Penyelenggaraan Kearsipan</t>
  </si>
  <si>
    <t>Evaluasi Keamanan Informasi</t>
  </si>
  <si>
    <t>Pengelolaan Komunikasi Publik dan Media</t>
  </si>
  <si>
    <t>SIRUP (Sistem Informasi Rencana Umum Pengadaan)</t>
  </si>
  <si>
    <t>LHKAN (Laporan Harta Kekayaan Aparatur Negara)</t>
  </si>
  <si>
    <t>Satu Data Jawa Timur</t>
  </si>
  <si>
    <t>Pengelolaan Layanan Informasi Publik</t>
  </si>
  <si>
    <t>Zona Integritas</t>
  </si>
  <si>
    <t>SAKIP (Sistem Akuntabilitas Kinerja Instansi Pemerintahan)</t>
  </si>
  <si>
    <t>TLHP (Tindak Lanjut Hasil Pemeriksaan)</t>
  </si>
  <si>
    <t>Indeks Kinerja Pengelolaan Barang MIlik Daerah</t>
  </si>
  <si>
    <t>Survei Core Values BerAKHLAK</t>
  </si>
  <si>
    <t>IP ASN</t>
  </si>
  <si>
    <t>Pemenuhan Kebutuhan Pengembangan Kompetensi ASN</t>
  </si>
  <si>
    <t>Evaluasi Aplikasi</t>
  </si>
  <si>
    <t>SP4N-LAPOR!</t>
  </si>
  <si>
    <t>Total Bobot</t>
  </si>
  <si>
    <t>Simulasi Nilai</t>
  </si>
  <si>
    <t>Nilai</t>
  </si>
  <si>
    <t>Hasil Nilai</t>
  </si>
  <si>
    <t>Nilai Min</t>
  </si>
  <si>
    <t>Nilai Max</t>
  </si>
  <si>
    <t>Nilai Akhir</t>
  </si>
  <si>
    <t>id_indikator</t>
  </si>
  <si>
    <t>indikator</t>
  </si>
  <si>
    <t>bobot</t>
  </si>
  <si>
    <t>nilai_maks</t>
  </si>
  <si>
    <t>C020250201</t>
  </si>
  <si>
    <t>C020250202</t>
  </si>
  <si>
    <t>C020250203</t>
  </si>
  <si>
    <t>KOVABLIK</t>
  </si>
  <si>
    <t>C020250204</t>
  </si>
  <si>
    <t>C020250205</t>
  </si>
  <si>
    <t>C020250206</t>
  </si>
  <si>
    <t>C020250207</t>
  </si>
  <si>
    <t>C020250208</t>
  </si>
  <si>
    <t>C020250209</t>
  </si>
  <si>
    <t>C020250210</t>
  </si>
  <si>
    <t>C020250211</t>
  </si>
  <si>
    <t>C020250212</t>
  </si>
  <si>
    <t>C020250213</t>
  </si>
  <si>
    <t>C020250214</t>
  </si>
  <si>
    <t>Evaluasi Penyelenggaraan Kearsipan</t>
  </si>
  <si>
    <t>C020250215</t>
  </si>
  <si>
    <t>C020250216</t>
  </si>
  <si>
    <t>C020250217</t>
  </si>
  <si>
    <t>C020250218</t>
  </si>
  <si>
    <t>Laporan Harta Kekayaan Aparatur Negara</t>
  </si>
  <si>
    <t>C020250219</t>
  </si>
  <si>
    <t>C020250220</t>
  </si>
  <si>
    <t>PPID</t>
  </si>
  <si>
    <t>C020250221</t>
  </si>
  <si>
    <t>C020250222</t>
  </si>
  <si>
    <t>C020250223</t>
  </si>
  <si>
    <t>Tindak Lanjut Hasil Pemeriksaan</t>
  </si>
  <si>
    <t>C020250224</t>
  </si>
  <si>
    <t>Indeks Kinerja Pengelolaan Barang Milik Daerah</t>
  </si>
  <si>
    <t>C020250225</t>
  </si>
  <si>
    <t>Budaya Kerja BerAKHLAK</t>
  </si>
  <si>
    <t>C020250226</t>
  </si>
  <si>
    <t>C020250227</t>
  </si>
  <si>
    <t>C020250228</t>
  </si>
  <si>
    <t>C020250229</t>
  </si>
  <si>
    <t>SP4N Lapor</t>
  </si>
  <si>
    <t>20250016_C020250601</t>
  </si>
  <si>
    <t>id_evaluasi</t>
  </si>
  <si>
    <t>tahun</t>
  </si>
  <si>
    <t>nilai_akhir</t>
  </si>
  <si>
    <t>20250041_C020250103</t>
  </si>
  <si>
    <t>C020250103</t>
  </si>
  <si>
    <t>20250044_C020250103</t>
  </si>
  <si>
    <t>20250049_C020250103</t>
  </si>
  <si>
    <t>20250053_C020250103</t>
  </si>
  <si>
    <t>20250103_C020250103</t>
  </si>
  <si>
    <t>20250104_C020250103</t>
  </si>
  <si>
    <t>20250107_C020250103</t>
  </si>
  <si>
    <t>20250108_C020250103</t>
  </si>
  <si>
    <t>20250001_C020250103</t>
  </si>
  <si>
    <t>20250004_C020250103</t>
  </si>
  <si>
    <t>20250007_C020250103</t>
  </si>
  <si>
    <t>20250011_C020250103</t>
  </si>
  <si>
    <t>20250017_C020250103</t>
  </si>
  <si>
    <t>20250018_C020250103</t>
  </si>
  <si>
    <t>20250021_C020250103</t>
  </si>
  <si>
    <t>20250023_C020250103</t>
  </si>
  <si>
    <t>20250025_C020250103</t>
  </si>
  <si>
    <t>20250029_C020250103</t>
  </si>
  <si>
    <t>20250030_C020250103</t>
  </si>
  <si>
    <t>20250032_C020250103</t>
  </si>
  <si>
    <t>20250034_C020250103</t>
  </si>
  <si>
    <t>20250037_C020250103</t>
  </si>
  <si>
    <t>20250021_C020250302</t>
  </si>
  <si>
    <t>C020250302</t>
  </si>
  <si>
    <t>20250022_C020250302</t>
  </si>
  <si>
    <t>20250023_C020250302</t>
  </si>
  <si>
    <t>20250024_C020250302</t>
  </si>
  <si>
    <t>20250025_C020250302</t>
  </si>
  <si>
    <t>20250026_C020250302</t>
  </si>
  <si>
    <t>20250027_C020250302</t>
  </si>
  <si>
    <t>20250028_C020250302</t>
  </si>
  <si>
    <t>20250029_C020250302</t>
  </si>
  <si>
    <t>20250030_C020250302</t>
  </si>
  <si>
    <t>20250031_C020250302</t>
  </si>
  <si>
    <t>20250032_C020250302</t>
  </si>
  <si>
    <t>20250033_C020250302</t>
  </si>
  <si>
    <t>20250034_C020250302</t>
  </si>
  <si>
    <t>20250035_C020250302</t>
  </si>
  <si>
    <t>20250036_C020250302</t>
  </si>
  <si>
    <t>20250037_C020250302</t>
  </si>
  <si>
    <t>20250038_C020250302</t>
  </si>
  <si>
    <t>20250039_C020250302</t>
  </si>
  <si>
    <t>20250040_C020250302</t>
  </si>
  <si>
    <t>20250041_C020250302</t>
  </si>
  <si>
    <t>20250042_C020250302</t>
  </si>
  <si>
    <t>20250043_C020250302</t>
  </si>
  <si>
    <t>20250044_C020250302</t>
  </si>
  <si>
    <t>20250045_C020250302</t>
  </si>
  <si>
    <t>20250046_C020250302</t>
  </si>
  <si>
    <t>20250047_C020250302</t>
  </si>
  <si>
    <t>20250048_C020250302</t>
  </si>
  <si>
    <t>20250049_C020250302</t>
  </si>
  <si>
    <t>20250050_C020250302</t>
  </si>
  <si>
    <t>20250051_C020250302</t>
  </si>
  <si>
    <t>20250052_C020250302</t>
  </si>
  <si>
    <t>20250053_C020250302</t>
  </si>
  <si>
    <t>20250054_C020250302</t>
  </si>
  <si>
    <t>20250055_C020250302</t>
  </si>
  <si>
    <t>20250095_C020250302</t>
  </si>
  <si>
    <t>20250103_C020250302</t>
  </si>
  <si>
    <t>20250104_C020250302</t>
  </si>
  <si>
    <t>20250105_C020250302</t>
  </si>
  <si>
    <t>20250106_C020250302</t>
  </si>
  <si>
    <t>20250107_C020250302</t>
  </si>
  <si>
    <t>20250108_C020250302</t>
  </si>
  <si>
    <t>20250109_C020250302</t>
  </si>
  <si>
    <t>20250110_C020250302</t>
  </si>
  <si>
    <t>20250001_C020250302</t>
  </si>
  <si>
    <t>20250002_C020250302</t>
  </si>
  <si>
    <t>20250003_C020250302</t>
  </si>
  <si>
    <t>20250004_C020250302</t>
  </si>
  <si>
    <t>20250005_C020250302</t>
  </si>
  <si>
    <t>20250006_C020250302</t>
  </si>
  <si>
    <t>20250007_C020250302</t>
  </si>
  <si>
    <t>20250008_C020250302</t>
  </si>
  <si>
    <t>20250009_C020250302</t>
  </si>
  <si>
    <t>20250010_C020250302</t>
  </si>
  <si>
    <t>20250011_C020250302</t>
  </si>
  <si>
    <t>20250012_C020250302</t>
  </si>
  <si>
    <t>20250013_C020250302</t>
  </si>
  <si>
    <t>20250014_C020250302</t>
  </si>
  <si>
    <t>20250015_C020250302</t>
  </si>
  <si>
    <t>20250016_C020250302</t>
  </si>
  <si>
    <t>20250017_C020250302</t>
  </si>
  <si>
    <t>20250018_C020250302</t>
  </si>
  <si>
    <t>20250019_C020250302</t>
  </si>
  <si>
    <t>20250020_C020250302</t>
  </si>
  <si>
    <t>20250001_C020250303</t>
  </si>
  <si>
    <t>C020250303</t>
  </si>
  <si>
    <t>20250002_C020250303</t>
  </si>
  <si>
    <t>20250003_C020250303</t>
  </si>
  <si>
    <t>20250004_C020250303</t>
  </si>
  <si>
    <t>20250005_C020250303</t>
  </si>
  <si>
    <t>20250006_C020250303</t>
  </si>
  <si>
    <t>20250007_C020250303</t>
  </si>
  <si>
    <t>20250008_C020250303</t>
  </si>
  <si>
    <t>20250009_C020250303</t>
  </si>
  <si>
    <t>20250010_C020250303</t>
  </si>
  <si>
    <t>20250011_C020250303</t>
  </si>
  <si>
    <t>20250012_C020250303</t>
  </si>
  <si>
    <t>20250013_C020250303</t>
  </si>
  <si>
    <t>20250014_C020250303</t>
  </si>
  <si>
    <t>20250015_C020250303</t>
  </si>
  <si>
    <t>20250016_C020250303</t>
  </si>
  <si>
    <t>20250017_C020250303</t>
  </si>
  <si>
    <t>20250018_C020250303</t>
  </si>
  <si>
    <t>20250019_C020250303</t>
  </si>
  <si>
    <t>20250020_C020250303</t>
  </si>
  <si>
    <t>20250021_C020250303</t>
  </si>
  <si>
    <t>20250022_C020250303</t>
  </si>
  <si>
    <t>20250023_C020250303</t>
  </si>
  <si>
    <t>20250024_C020250303</t>
  </si>
  <si>
    <t>20250025_C020250303</t>
  </si>
  <si>
    <t>20250026_C020250303</t>
  </si>
  <si>
    <t>20250027_C020250303</t>
  </si>
  <si>
    <t>20250028_C020250303</t>
  </si>
  <si>
    <t>20250029_C020250303</t>
  </si>
  <si>
    <t>20250030_C020250303</t>
  </si>
  <si>
    <t>20250031_C020250303</t>
  </si>
  <si>
    <t>20250032_C020250303</t>
  </si>
  <si>
    <t>20250033_C020250303</t>
  </si>
  <si>
    <t>20250034_C020250303</t>
  </si>
  <si>
    <t>20250035_C020250303</t>
  </si>
  <si>
    <t>20250036_C020250303</t>
  </si>
  <si>
    <t>20250037_C020250303</t>
  </si>
  <si>
    <t>20250038_C020250303</t>
  </si>
  <si>
    <t>20250039_C020250303</t>
  </si>
  <si>
    <t>20250040_C020250303</t>
  </si>
  <si>
    <t>20250041_C020250303</t>
  </si>
  <si>
    <t>20250042_C020250303</t>
  </si>
  <si>
    <t>20250043_C020250303</t>
  </si>
  <si>
    <t>20250044_C020250303</t>
  </si>
  <si>
    <t>20250045_C020250303</t>
  </si>
  <si>
    <t>20250046_C020250303</t>
  </si>
  <si>
    <t>20250047_C020250303</t>
  </si>
  <si>
    <t>20250048_C020250303</t>
  </si>
  <si>
    <t>20250049_C020250303</t>
  </si>
  <si>
    <t>20250050_C020250303</t>
  </si>
  <si>
    <t>20250051_C020250303</t>
  </si>
  <si>
    <t>20250052_C020250303</t>
  </si>
  <si>
    <t>20250053_C020250303</t>
  </si>
  <si>
    <t>20250054_C020250303</t>
  </si>
  <si>
    <t>20250055_C020250303</t>
  </si>
  <si>
    <t>20250095_C020250303</t>
  </si>
  <si>
    <t>20250103_C020250303</t>
  </si>
  <si>
    <t>20250104_C020250303</t>
  </si>
  <si>
    <t>20250105_C020250303</t>
  </si>
  <si>
    <t>20250106_C020250303</t>
  </si>
  <si>
    <t>20250107_C020250303</t>
  </si>
  <si>
    <t>20250108_C020250303</t>
  </si>
  <si>
    <t>20250109_C020250303</t>
  </si>
  <si>
    <t>20250110_C020250303</t>
  </si>
  <si>
    <t>20250039_C020250402</t>
  </si>
  <si>
    <t>C020250402</t>
  </si>
  <si>
    <t>20250040_C020250402</t>
  </si>
  <si>
    <t>20250041_C020250402</t>
  </si>
  <si>
    <t>20250042_C020250402</t>
  </si>
  <si>
    <t>20250043_C020250402</t>
  </si>
  <si>
    <t>20250044_C020250402</t>
  </si>
  <si>
    <t>20250045_C020250402</t>
  </si>
  <si>
    <t>20250046_C020250402</t>
  </si>
  <si>
    <t>20250047_C020250402</t>
  </si>
  <si>
    <t>20250048_C020250402</t>
  </si>
  <si>
    <t>20250049_C020250402</t>
  </si>
  <si>
    <t>20250050_C020250402</t>
  </si>
  <si>
    <t>20250051_C020250402</t>
  </si>
  <si>
    <t>20250052_C020250402</t>
  </si>
  <si>
    <t>20250053_C020250402</t>
  </si>
  <si>
    <t>20250054_C020250402</t>
  </si>
  <si>
    <t>20250055_C020250402</t>
  </si>
  <si>
    <t>20250095_C020250402</t>
  </si>
  <si>
    <t>20250103_C020250402</t>
  </si>
  <si>
    <t>20250104_C020250402</t>
  </si>
  <si>
    <t>20250105_C020250402</t>
  </si>
  <si>
    <t>20250106_C020250402</t>
  </si>
  <si>
    <t>20250107_C020250402</t>
  </si>
  <si>
    <t>20250108_C020250402</t>
  </si>
  <si>
    <t>20250109_C020250402</t>
  </si>
  <si>
    <t>20250110_C020250402</t>
  </si>
  <si>
    <t>20250001_C020250402</t>
  </si>
  <si>
    <t>20250002_C020250402</t>
  </si>
  <si>
    <t>20250003_C020250402</t>
  </si>
  <si>
    <t>20250004_C020250402</t>
  </si>
  <si>
    <t>20250005_C020250402</t>
  </si>
  <si>
    <t>20250006_C020250402</t>
  </si>
  <si>
    <t>20250007_C020250402</t>
  </si>
  <si>
    <t>20250008_C020250402</t>
  </si>
  <si>
    <t>20250009_C020250402</t>
  </si>
  <si>
    <t>20250010_C020250402</t>
  </si>
  <si>
    <t>20250011_C020250402</t>
  </si>
  <si>
    <t>20250012_C020250402</t>
  </si>
  <si>
    <t>20250013_C020250402</t>
  </si>
  <si>
    <t>20250014_C020250402</t>
  </si>
  <si>
    <t>20250015_C020250402</t>
  </si>
  <si>
    <t>20250016_C020250402</t>
  </si>
  <si>
    <t>20250017_C020250402</t>
  </si>
  <si>
    <t>20250018_C020250402</t>
  </si>
  <si>
    <t>20250019_C020250402</t>
  </si>
  <si>
    <t>20250020_C020250402</t>
  </si>
  <si>
    <t>20250021_C020250402</t>
  </si>
  <si>
    <t>20250022_C020250402</t>
  </si>
  <si>
    <t>20250023_C020250402</t>
  </si>
  <si>
    <t>20250024_C020250402</t>
  </si>
  <si>
    <t>20250025_C020250402</t>
  </si>
  <si>
    <t>20250026_C020250402</t>
  </si>
  <si>
    <t>20250027_C020250402</t>
  </si>
  <si>
    <t>20250028_C020250402</t>
  </si>
  <si>
    <t>20250029_C020250402</t>
  </si>
  <si>
    <t>20250030_C020250402</t>
  </si>
  <si>
    <t>20250031_C020250402</t>
  </si>
  <si>
    <t>20250032_C020250402</t>
  </si>
  <si>
    <t>20250033_C020250402</t>
  </si>
  <si>
    <t>20250034_C020250402</t>
  </si>
  <si>
    <t>20250035_C020250402</t>
  </si>
  <si>
    <t>20250036_C020250402</t>
  </si>
  <si>
    <t>20250037_C020250402</t>
  </si>
  <si>
    <t>20250038_C020250402</t>
  </si>
  <si>
    <t>20250020_C020250404</t>
  </si>
  <si>
    <t>C020250404</t>
  </si>
  <si>
    <t>20250021_C020250404</t>
  </si>
  <si>
    <t>20250022_C020250404</t>
  </si>
  <si>
    <t>20250023_C020250404</t>
  </si>
  <si>
    <t>20250024_C020250404</t>
  </si>
  <si>
    <t>20250025_C020250404</t>
  </si>
  <si>
    <t>20250026_C020250404</t>
  </si>
  <si>
    <t>20250027_C020250404</t>
  </si>
  <si>
    <t>20250028_C020250404</t>
  </si>
  <si>
    <t>20250029_C020250404</t>
  </si>
  <si>
    <t>20250030_C020250404</t>
  </si>
  <si>
    <t>20250031_C020250404</t>
  </si>
  <si>
    <t>20250032_C020250404</t>
  </si>
  <si>
    <t>20250033_C020250404</t>
  </si>
  <si>
    <t>20250034_C020250404</t>
  </si>
  <si>
    <t>20250035_C020250404</t>
  </si>
  <si>
    <t>20250036_C020250404</t>
  </si>
  <si>
    <t>20250037_C020250404</t>
  </si>
  <si>
    <t>20250038_C020250404</t>
  </si>
  <si>
    <t>20250039_C020250404</t>
  </si>
  <si>
    <t>20250040_C020250404</t>
  </si>
  <si>
    <t>20250041_C020250404</t>
  </si>
  <si>
    <t>20250042_C020250404</t>
  </si>
  <si>
    <t>20250043_C020250404</t>
  </si>
  <si>
    <t>20250044_C020250404</t>
  </si>
  <si>
    <t>20250045_C020250404</t>
  </si>
  <si>
    <t>20250046_C020250404</t>
  </si>
  <si>
    <t>20250047_C020250404</t>
  </si>
  <si>
    <t>20250048_C020250404</t>
  </si>
  <si>
    <t>20250049_C020250404</t>
  </si>
  <si>
    <t>20250050_C020250404</t>
  </si>
  <si>
    <t>20250051_C020250404</t>
  </si>
  <si>
    <t>20250052_C020250404</t>
  </si>
  <si>
    <t>20250053_C020250404</t>
  </si>
  <si>
    <t>20250054_C020250404</t>
  </si>
  <si>
    <t>20250055_C020250404</t>
  </si>
  <si>
    <t>20250095_C020250404</t>
  </si>
  <si>
    <t>20250103_C020250404</t>
  </si>
  <si>
    <t>20250104_C020250404</t>
  </si>
  <si>
    <t>20250105_C020250404</t>
  </si>
  <si>
    <t>20250106_C020250404</t>
  </si>
  <si>
    <t>20250107_C020250404</t>
  </si>
  <si>
    <t>20250108_C020250404</t>
  </si>
  <si>
    <t>20250109_C020250404</t>
  </si>
  <si>
    <t>20250110_C020250404</t>
  </si>
  <si>
    <t>20250001_C020250404</t>
  </si>
  <si>
    <t>20250002_C020250404</t>
  </si>
  <si>
    <t>20250003_C020250404</t>
  </si>
  <si>
    <t>20250004_C020250404</t>
  </si>
  <si>
    <t>20250005_C020250404</t>
  </si>
  <si>
    <t>20250006_C020250404</t>
  </si>
  <si>
    <t>20250007_C020250404</t>
  </si>
  <si>
    <t>20250008_C020250404</t>
  </si>
  <si>
    <t>20250009_C020250404</t>
  </si>
  <si>
    <t>20250010_C020250404</t>
  </si>
  <si>
    <t>20250011_C020250404</t>
  </si>
  <si>
    <t>20250012_C020250404</t>
  </si>
  <si>
    <t>20250013_C020250404</t>
  </si>
  <si>
    <t>20250014_C020250404</t>
  </si>
  <si>
    <t>20250015_C020250404</t>
  </si>
  <si>
    <t>20250016_C020250404</t>
  </si>
  <si>
    <t>20250017_C020250404</t>
  </si>
  <si>
    <t>20250018_C020250404</t>
  </si>
  <si>
    <t>20250019_C020250404</t>
  </si>
  <si>
    <t>20250001_C020250503</t>
  </si>
  <si>
    <t>C020250503</t>
  </si>
  <si>
    <t>20250002_C020250503</t>
  </si>
  <si>
    <t>20250003_C020250503</t>
  </si>
  <si>
    <t>20250004_C020250503</t>
  </si>
  <si>
    <t>20250006_C020250503</t>
  </si>
  <si>
    <t>20250007_C020250503</t>
  </si>
  <si>
    <t>20250009_C020250503</t>
  </si>
  <si>
    <t>20250010_C020250503</t>
  </si>
  <si>
    <t>20250011_C020250503</t>
  </si>
  <si>
    <t>20250012_C020250503</t>
  </si>
  <si>
    <t>20250013_C020250503</t>
  </si>
  <si>
    <t>20250014_C020250503</t>
  </si>
  <si>
    <t>20250015_C020250503</t>
  </si>
  <si>
    <t>20250016_C020250503</t>
  </si>
  <si>
    <t>20250017_C020250503</t>
  </si>
  <si>
    <t>20250018_C020250503</t>
  </si>
  <si>
    <t>20250019_C020250503</t>
  </si>
  <si>
    <t>20250020_C020250503</t>
  </si>
  <si>
    <t>20250022_C020250503</t>
  </si>
  <si>
    <t>20250023_C020250503</t>
  </si>
  <si>
    <t>20250024_C020250503</t>
  </si>
  <si>
    <t>20250025_C020250503</t>
  </si>
  <si>
    <t>20250026_C020250503</t>
  </si>
  <si>
    <t>20250028_C020250503</t>
  </si>
  <si>
    <t>20250029_C020250503</t>
  </si>
  <si>
    <t>20250030_C020250503</t>
  </si>
  <si>
    <t>20250031_C020250503</t>
  </si>
  <si>
    <t>20250032_C020250503</t>
  </si>
  <si>
    <t>20250034_C020250503</t>
  </si>
  <si>
    <t>20250035_C020250503</t>
  </si>
  <si>
    <t>20250036_C020250503</t>
  </si>
  <si>
    <t>20250037_C020250503</t>
  </si>
  <si>
    <t>20250038_C020250503</t>
  </si>
  <si>
    <t>20250039_C020250503</t>
  </si>
  <si>
    <t>20250040_C020250503</t>
  </si>
  <si>
    <t>20250041_C020250503</t>
  </si>
  <si>
    <t>20250042_C020250503</t>
  </si>
  <si>
    <t>20250043_C020250503</t>
  </si>
  <si>
    <t>20250044_C020250503</t>
  </si>
  <si>
    <t>20250045_C020250503</t>
  </si>
  <si>
    <t>20250046_C020250503</t>
  </si>
  <si>
    <t>20250048_C020250503</t>
  </si>
  <si>
    <t>20250050_C020250503</t>
  </si>
  <si>
    <t>20250051_C020250503</t>
  </si>
  <si>
    <t>20250052_C020250503</t>
  </si>
  <si>
    <t>20250053_C020250503</t>
  </si>
  <si>
    <t>20250054_C020250503</t>
  </si>
  <si>
    <t>20250055_C020250503</t>
  </si>
  <si>
    <t>20250095_C020250503</t>
  </si>
  <si>
    <t>20250106_C020250503</t>
  </si>
  <si>
    <t>20250039_C020250504</t>
  </si>
  <si>
    <t>C020250504</t>
  </si>
  <si>
    <t>20250040_C020250504</t>
  </si>
  <si>
    <t>20250041_C020250504</t>
  </si>
  <si>
    <t>20250042_C020250504</t>
  </si>
  <si>
    <t>20250043_C020250504</t>
  </si>
  <si>
    <t>20250044_C020250504</t>
  </si>
  <si>
    <t>20250045_C020250504</t>
  </si>
  <si>
    <t>20250046_C020250504</t>
  </si>
  <si>
    <t>20250047_C020250504</t>
  </si>
  <si>
    <t>20250048_C020250504</t>
  </si>
  <si>
    <t>20250049_C020250504</t>
  </si>
  <si>
    <t>20250050_C020250504</t>
  </si>
  <si>
    <t>20250051_C020250504</t>
  </si>
  <si>
    <t>20250052_C020250504</t>
  </si>
  <si>
    <t>20250053_C020250504</t>
  </si>
  <si>
    <t>20250054_C020250504</t>
  </si>
  <si>
    <t>20250055_C020250504</t>
  </si>
  <si>
    <t>20250095_C020250504</t>
  </si>
  <si>
    <t>20250103_C020250504</t>
  </si>
  <si>
    <t>20250104_C020250504</t>
  </si>
  <si>
    <t>20250105_C020250504</t>
  </si>
  <si>
    <t>20250106_C020250504</t>
  </si>
  <si>
    <t>20250107_C020250504</t>
  </si>
  <si>
    <t>20250108_C020250504</t>
  </si>
  <si>
    <t>20250109_C020250504</t>
  </si>
  <si>
    <t>20250110_C020250504</t>
  </si>
  <si>
    <t>20250001_C020250504</t>
  </si>
  <si>
    <t>20250002_C020250504</t>
  </si>
  <si>
    <t>20250003_C020250504</t>
  </si>
  <si>
    <t>20250004_C020250504</t>
  </si>
  <si>
    <t>20250005_C020250504</t>
  </si>
  <si>
    <t>20250006_C020250504</t>
  </si>
  <si>
    <t>20250007_C020250504</t>
  </si>
  <si>
    <t>20250008_C020250504</t>
  </si>
  <si>
    <t>20250009_C020250504</t>
  </si>
  <si>
    <t>20250010_C020250504</t>
  </si>
  <si>
    <t>20250011_C020250504</t>
  </si>
  <si>
    <t>20250012_C020250504</t>
  </si>
  <si>
    <t>20250013_C020250504</t>
  </si>
  <si>
    <t>20250014_C020250504</t>
  </si>
  <si>
    <t>20250015_C020250504</t>
  </si>
  <si>
    <t>20250016_C020250504</t>
  </si>
  <si>
    <t>20250017_C020250504</t>
  </si>
  <si>
    <t>20250018_C020250504</t>
  </si>
  <si>
    <t>20250019_C020250504</t>
  </si>
  <si>
    <t>20250020_C020250504</t>
  </si>
  <si>
    <t>20250021_C020250504</t>
  </si>
  <si>
    <t>20250022_C020250504</t>
  </si>
  <si>
    <t>20250023_C020250504</t>
  </si>
  <si>
    <t>20250024_C020250504</t>
  </si>
  <si>
    <t>20250025_C020250504</t>
  </si>
  <si>
    <t>20250026_C020250504</t>
  </si>
  <si>
    <t>20250027_C020250504</t>
  </si>
  <si>
    <t>20250028_C020250504</t>
  </si>
  <si>
    <t>20250029_C020250504</t>
  </si>
  <si>
    <t>20250030_C020250504</t>
  </si>
  <si>
    <t>20250031_C020250504</t>
  </si>
  <si>
    <t>20250032_C020250504</t>
  </si>
  <si>
    <t>20250033_C020250504</t>
  </si>
  <si>
    <t>20250034_C020250504</t>
  </si>
  <si>
    <t>20250035_C020250504</t>
  </si>
  <si>
    <t>20250036_C020250504</t>
  </si>
  <si>
    <t>20250037_C020250504</t>
  </si>
  <si>
    <t>20250038_C020250504</t>
  </si>
  <si>
    <t>20250020_C020250601</t>
  </si>
  <si>
    <t>C020250601</t>
  </si>
  <si>
    <t>20250021_C020250601</t>
  </si>
  <si>
    <t>20250022_C020250601</t>
  </si>
  <si>
    <t>20250023_C020250601</t>
  </si>
  <si>
    <t>20250024_C020250601</t>
  </si>
  <si>
    <t>20250025_C020250601</t>
  </si>
  <si>
    <t>20250026_C020250601</t>
  </si>
  <si>
    <t>20250027_C020250601</t>
  </si>
  <si>
    <t>20250028_C020250601</t>
  </si>
  <si>
    <t>20250029_C020250601</t>
  </si>
  <si>
    <t>20250030_C020250601</t>
  </si>
  <si>
    <t>20250031_C020250601</t>
  </si>
  <si>
    <t>20250032_C020250601</t>
  </si>
  <si>
    <t>20250033_C020250601</t>
  </si>
  <si>
    <t>20250034_C020250601</t>
  </si>
  <si>
    <t>20250035_C020250601</t>
  </si>
  <si>
    <t>20250036_C020250601</t>
  </si>
  <si>
    <t>20250037_C020250601</t>
  </si>
  <si>
    <t>20250038_C020250601</t>
  </si>
  <si>
    <t>20250039_C020250601</t>
  </si>
  <si>
    <t>20250045_C020250601</t>
  </si>
  <si>
    <t>20250046_C020250601</t>
  </si>
  <si>
    <t>20250047_C020250601</t>
  </si>
  <si>
    <t>20250048_C020250601</t>
  </si>
  <si>
    <t>20250049_C020250601</t>
  </si>
  <si>
    <t>20250050_C020250601</t>
  </si>
  <si>
    <t>20250051_C020250601</t>
  </si>
  <si>
    <t>20250052_C020250601</t>
  </si>
  <si>
    <t>20250053_C020250601</t>
  </si>
  <si>
    <t>20250054_C020250601</t>
  </si>
  <si>
    <t>20250055_C020250601</t>
  </si>
  <si>
    <t>20250001_C020250601</t>
  </si>
  <si>
    <t>20250002_C020250601</t>
  </si>
  <si>
    <t>20250003_C020250601</t>
  </si>
  <si>
    <t>20250004_C020250601</t>
  </si>
  <si>
    <t>20250005_C020250601</t>
  </si>
  <si>
    <t>20250006_C020250601</t>
  </si>
  <si>
    <t>20250007_C020250601</t>
  </si>
  <si>
    <t>20250008_C020250601</t>
  </si>
  <si>
    <t>20250009_C020250601</t>
  </si>
  <si>
    <t>20250010_C020250601</t>
  </si>
  <si>
    <t>20250011_C020250601</t>
  </si>
  <si>
    <t>20250012_C020250601</t>
  </si>
  <si>
    <t>20250013_C020250601</t>
  </si>
  <si>
    <t>20250014_C020250601</t>
  </si>
  <si>
    <t>20250015_C020250601</t>
  </si>
  <si>
    <t>20250017_C020250601</t>
  </si>
  <si>
    <t>20250018_C020250601</t>
  </si>
  <si>
    <t>20250019_C020250601</t>
  </si>
  <si>
    <t>20250001_C020250602</t>
  </si>
  <si>
    <t>C020250602</t>
  </si>
  <si>
    <t>20250002_C020250602</t>
  </si>
  <si>
    <t>20250003_C020250602</t>
  </si>
  <si>
    <t>20250004_C020250602</t>
  </si>
  <si>
    <t>20250005_C020250602</t>
  </si>
  <si>
    <t>20250006_C020250602</t>
  </si>
  <si>
    <t>20250007_C020250602</t>
  </si>
  <si>
    <t>20250008_C020250602</t>
  </si>
  <si>
    <t>20250009_C020250602</t>
  </si>
  <si>
    <t>20250010_C020250602</t>
  </si>
  <si>
    <t>20250011_C020250602</t>
  </si>
  <si>
    <t>20250012_C020250602</t>
  </si>
  <si>
    <t>20250013_C020250602</t>
  </si>
  <si>
    <t>20250014_C020250602</t>
  </si>
  <si>
    <t>20250015_C020250602</t>
  </si>
  <si>
    <t>20250016_C020250602</t>
  </si>
  <si>
    <t>20250017_C020250602</t>
  </si>
  <si>
    <t>20250018_C020250602</t>
  </si>
  <si>
    <t>20250019_C020250602</t>
  </si>
  <si>
    <t>20250020_C020250602</t>
  </si>
  <si>
    <t>20250021_C020250602</t>
  </si>
  <si>
    <t>20250022_C020250602</t>
  </si>
  <si>
    <t>20250023_C020250602</t>
  </si>
  <si>
    <t>20250024_C020250602</t>
  </si>
  <si>
    <t>20250025_C020250602</t>
  </si>
  <si>
    <t>20250026_C020250602</t>
  </si>
  <si>
    <t>20250027_C020250602</t>
  </si>
  <si>
    <t>20250028_C020250602</t>
  </si>
  <si>
    <t>20250029_C020250602</t>
  </si>
  <si>
    <t>20250030_C020250602</t>
  </si>
  <si>
    <t>20250031_C020250602</t>
  </si>
  <si>
    <t>20250032_C020250602</t>
  </si>
  <si>
    <t>20250033_C020250602</t>
  </si>
  <si>
    <t>20250034_C020250602</t>
  </si>
  <si>
    <t>20250035_C020250602</t>
  </si>
  <si>
    <t>20250036_C020250602</t>
  </si>
  <si>
    <t>20250037_C020250602</t>
  </si>
  <si>
    <t>20250038_C020250602</t>
  </si>
  <si>
    <t>20250039_C020250602</t>
  </si>
  <si>
    <t>20250045_C020250602</t>
  </si>
  <si>
    <t>20250046_C020250602</t>
  </si>
  <si>
    <t>20250039_C020250603</t>
  </si>
  <si>
    <t>C020250603</t>
  </si>
  <si>
    <t>20250040_C020250603</t>
  </si>
  <si>
    <t>20250041_C020250603</t>
  </si>
  <si>
    <t>20250042_C020250603</t>
  </si>
  <si>
    <t>20250043_C020250603</t>
  </si>
  <si>
    <t>20250044_C020250603</t>
  </si>
  <si>
    <t>20250045_C020250603</t>
  </si>
  <si>
    <t>20250046_C020250603</t>
  </si>
  <si>
    <t>20250047_C020250603</t>
  </si>
  <si>
    <t>20250048_C020250603</t>
  </si>
  <si>
    <t>20250049_C020250603</t>
  </si>
  <si>
    <t>20250050_C020250603</t>
  </si>
  <si>
    <t>20250051_C020250603</t>
  </si>
  <si>
    <t>20250052_C020250603</t>
  </si>
  <si>
    <t>20250053_C020250603</t>
  </si>
  <si>
    <t>20250054_C020250603</t>
  </si>
  <si>
    <t>20250055_C020250603</t>
  </si>
  <si>
    <t>20250095_C020250603</t>
  </si>
  <si>
    <t>20250103_C020250603</t>
  </si>
  <si>
    <t>20250104_C020250603</t>
  </si>
  <si>
    <t>20250105_C020250603</t>
  </si>
  <si>
    <t>20250106_C020250603</t>
  </si>
  <si>
    <t>20250107_C020250603</t>
  </si>
  <si>
    <t>20250108_C020250603</t>
  </si>
  <si>
    <t>20250109_C020250603</t>
  </si>
  <si>
    <t>20250110_C020250603</t>
  </si>
  <si>
    <t>20250001_C020250603</t>
  </si>
  <si>
    <t>20250002_C020250603</t>
  </si>
  <si>
    <t>20250003_C020250603</t>
  </si>
  <si>
    <t>20250004_C020250603</t>
  </si>
  <si>
    <t>20250005_C020250603</t>
  </si>
  <si>
    <t>20250006_C020250603</t>
  </si>
  <si>
    <t>20250007_C020250603</t>
  </si>
  <si>
    <t>20250008_C020250603</t>
  </si>
  <si>
    <t>20250009_C020250603</t>
  </si>
  <si>
    <t>20250010_C020250603</t>
  </si>
  <si>
    <t>20250011_C020250603</t>
  </si>
  <si>
    <t>20250012_C020250603</t>
  </si>
  <si>
    <t>20250013_C020250603</t>
  </si>
  <si>
    <t>20250014_C020250603</t>
  </si>
  <si>
    <t>20250015_C020250603</t>
  </si>
  <si>
    <t>20250016_C020250603</t>
  </si>
  <si>
    <t>20250017_C020250603</t>
  </si>
  <si>
    <t>20250018_C020250603</t>
  </si>
  <si>
    <t>20250019_C020250603</t>
  </si>
  <si>
    <t>20250020_C020250603</t>
  </si>
  <si>
    <t>20250021_C020250603</t>
  </si>
  <si>
    <t>20250022_C020250603</t>
  </si>
  <si>
    <t>20250023_C020250603</t>
  </si>
  <si>
    <t>20250024_C020250603</t>
  </si>
  <si>
    <t>20250025_C020250603</t>
  </si>
  <si>
    <t>20250026_C020250603</t>
  </si>
  <si>
    <t>20250027_C020250603</t>
  </si>
  <si>
    <t>20250028_C020250603</t>
  </si>
  <si>
    <t>20250029_C020250603</t>
  </si>
  <si>
    <t>20250030_C020250603</t>
  </si>
  <si>
    <t>20250031_C020250603</t>
  </si>
  <si>
    <t>20250032_C020250603</t>
  </si>
  <si>
    <t>20250033_C020250603</t>
  </si>
  <si>
    <t>20250034_C020250603</t>
  </si>
  <si>
    <t>20250035_C020250603</t>
  </si>
  <si>
    <t>20250036_C020250603</t>
  </si>
  <si>
    <t>20250037_C020250603</t>
  </si>
  <si>
    <t>20250038_C020250603</t>
  </si>
  <si>
    <t>20250020_C020250605</t>
  </si>
  <si>
    <t>C020250605</t>
  </si>
  <si>
    <t>20250021_C020250605</t>
  </si>
  <si>
    <t>20250022_C020250605</t>
  </si>
  <si>
    <t>20250023_C020250605</t>
  </si>
  <si>
    <t>20250024_C020250605</t>
  </si>
  <si>
    <t>20250025_C020250605</t>
  </si>
  <si>
    <t>20250026_C020250605</t>
  </si>
  <si>
    <t>20250027_C020250605</t>
  </si>
  <si>
    <t>20250028_C020250605</t>
  </si>
  <si>
    <t>20250029_C020250605</t>
  </si>
  <si>
    <t>20250030_C020250605</t>
  </si>
  <si>
    <t>20250031_C020250605</t>
  </si>
  <si>
    <t>20250032_C020250605</t>
  </si>
  <si>
    <t>20250033_C020250605</t>
  </si>
  <si>
    <t>20250034_C020250605</t>
  </si>
  <si>
    <t>20250035_C020250605</t>
  </si>
  <si>
    <t>20250036_C020250605</t>
  </si>
  <si>
    <t>20250037_C020250605</t>
  </si>
  <si>
    <t>20250001_C020250605</t>
  </si>
  <si>
    <t>20250002_C020250605</t>
  </si>
  <si>
    <t>20250003_C020250605</t>
  </si>
  <si>
    <t>20250004_C020250605</t>
  </si>
  <si>
    <t>20250005_C020250605</t>
  </si>
  <si>
    <t>20250006_C020250605</t>
  </si>
  <si>
    <t>20250007_C020250605</t>
  </si>
  <si>
    <t>20250008_C020250605</t>
  </si>
  <si>
    <t>20250009_C020250605</t>
  </si>
  <si>
    <t>20250010_C020250605</t>
  </si>
  <si>
    <t>20250011_C020250605</t>
  </si>
  <si>
    <t>20250012_C020250605</t>
  </si>
  <si>
    <t>20250013_C020250605</t>
  </si>
  <si>
    <t>20250014_C020250605</t>
  </si>
  <si>
    <t>20250015_C020250605</t>
  </si>
  <si>
    <t>20250016_C020250605</t>
  </si>
  <si>
    <t>20250017_C020250605</t>
  </si>
  <si>
    <t>20250018_C020250605</t>
  </si>
  <si>
    <t>20250019_C020250605</t>
  </si>
  <si>
    <t>20250038_C020250605</t>
  </si>
  <si>
    <t>20250039_C020250605</t>
  </si>
  <si>
    <t>20250040_C020250605</t>
  </si>
  <si>
    <t>20250041_C020250605</t>
  </si>
  <si>
    <t>20250042_C020250605</t>
  </si>
  <si>
    <t>20250043_C020250605</t>
  </si>
  <si>
    <t>20250044_C020250605</t>
  </si>
  <si>
    <t>20250045_C020250605</t>
  </si>
  <si>
    <t>20250046_C020250605</t>
  </si>
  <si>
    <t>20250047_C020250605</t>
  </si>
  <si>
    <t>20250048_C020250605</t>
  </si>
  <si>
    <t>20250049_C020250605</t>
  </si>
  <si>
    <t>20250050_C020250605</t>
  </si>
  <si>
    <t>20250051_C020250605</t>
  </si>
  <si>
    <t>20250052_C020250605</t>
  </si>
  <si>
    <t>20250053_C020250605</t>
  </si>
  <si>
    <t>20250054_C020250605</t>
  </si>
  <si>
    <t>20250055_C020250605</t>
  </si>
  <si>
    <t>20250095_C020250605</t>
  </si>
  <si>
    <t>20250103_C020250605</t>
  </si>
  <si>
    <t>20250104_C020250605</t>
  </si>
  <si>
    <t>20250105_C020250605</t>
  </si>
  <si>
    <t>20250106_C020250605</t>
  </si>
  <si>
    <t>20250107_C020250605</t>
  </si>
  <si>
    <t>20250108_C020250605</t>
  </si>
  <si>
    <t>20250109_C020250605</t>
  </si>
  <si>
    <t>20250110_C020250605</t>
  </si>
  <si>
    <t>Nilai SPBE</t>
  </si>
  <si>
    <t>opd_pengampu</t>
  </si>
  <si>
    <t>id_opd</t>
  </si>
  <si>
    <t>Badan Riset dan Inovasi Daerah</t>
  </si>
  <si>
    <t>Biro Organisasi</t>
  </si>
  <si>
    <t>Badan Pengelola Keuangan dan Aset Daerah</t>
  </si>
  <si>
    <t>Biro Administrasi Pembangunan</t>
  </si>
  <si>
    <t>Dinas Pemberdayaan Perempuan,Perlindungan Anak dan Kependudukan</t>
  </si>
  <si>
    <t>Biro Pengadaan Barang/Jasa</t>
  </si>
  <si>
    <t>Dinas Komunikasi dan Informatika</t>
  </si>
  <si>
    <t>Badan Kepegawaian Daerah</t>
  </si>
  <si>
    <t>Inspektorat</t>
  </si>
  <si>
    <t>Badan Pengembangan Sumber Daya Manusia</t>
  </si>
  <si>
    <t>Dinas Perpustakaan dan Kearsipan</t>
  </si>
  <si>
    <t>Survei Budaya Kerja BerAKHLAK</t>
  </si>
  <si>
    <t>nilai_input</t>
  </si>
  <si>
    <t>Indikator untuk aspek 1</t>
  </si>
  <si>
    <t>id_aspek</t>
  </si>
  <si>
    <t>periode</t>
  </si>
  <si>
    <t>jml_periode</t>
  </si>
  <si>
    <t>tag</t>
  </si>
  <si>
    <t>keterangan</t>
  </si>
  <si>
    <t>is_aktif</t>
  </si>
  <si>
    <t>opd</t>
  </si>
  <si>
    <t>C020250101</t>
  </si>
  <si>
    <t>C020250102</t>
  </si>
  <si>
    <t>C020250104</t>
  </si>
  <si>
    <t>C0202501</t>
  </si>
  <si>
    <t>insert into m_indikator (id_indikator,indikator,id_aspek,bobot,nilai_maks,periode,jml_periode,opd_pengampu,id_opd,tag,keterangan,is_aktif) values</t>
  </si>
  <si>
    <t>C0202503</t>
  </si>
  <si>
    <t>C020250301</t>
  </si>
  <si>
    <t>Rencana Aksi Pengentasan Kemiskinan</t>
  </si>
  <si>
    <t>Rencana Aksi Realisasi Investasi</t>
  </si>
  <si>
    <t>Rencana Aksi Mendorong Hilirisasi</t>
  </si>
  <si>
    <t>Rencana Aksi Mendukung Ketahanan Pangan Nasional</t>
  </si>
  <si>
    <t>Rencana Aksi Peningkatan Kualitas dan Akses Layanan Kesehatan</t>
  </si>
  <si>
    <t>Rencana Aksi Peningkatan Akses, Kualitas dan Mutu Layanan Pendidikan</t>
  </si>
  <si>
    <t>C020250304</t>
  </si>
  <si>
    <t>C020250305</t>
  </si>
  <si>
    <t>C020250306</t>
  </si>
  <si>
    <t>C020250406</t>
  </si>
  <si>
    <t>C0202504</t>
  </si>
  <si>
    <t>C020250401</t>
  </si>
  <si>
    <t>Capaian Output Pengentasan Kemiskinan</t>
  </si>
  <si>
    <t xml:space="preserve">Capaian Output Realisasi Investasi </t>
  </si>
  <si>
    <t>Capaian Output Mendorong Hilirisasi</t>
  </si>
  <si>
    <t>Capaian Output Mendukung Ketahanan Pangan Nasional</t>
  </si>
  <si>
    <t>Capaian Output Peningkatan Kualitas dan Akses Layanan Kesehatan</t>
  </si>
  <si>
    <t>Capaian Output Peningkatan Akses, Kualitas dan Mutu Layanan Pendidikan</t>
  </si>
  <si>
    <t>C020250403</t>
  </si>
  <si>
    <t>C020250405</t>
  </si>
  <si>
    <t xml:space="preserve">insert into m_indikator (id_indikator, indikator, id_aspek, bobot, nilai_maks, periode, jml_periode, opd_pengampu, id_opd, tag, keterangan, is_aktif) values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</si>
</sst>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22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2" fontId="0" fillId="0" borderId="0" xfId="0" applyNumberFormat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3C705-EA03-4BFD-9534-6ED3B2C0626B}">
  <dimension ref="B1:I39"/>
  <sheetViews>
    <sheetView workbookViewId="0">
      <selection activeCell="A22" sqref="A22:XFD22"/>
    </sheetView>
  </sheetViews>
  <sheetFormatPr defaultRowHeight="14.5" x14ac:dyDescent="0.35"/>
  <cols>
    <col min="1" max="1" width="5.453125" customWidth="1"/>
    <col min="2" max="2" width="4.1796875" style="1" customWidth="1"/>
    <col min="3" max="3" width="44.08984375" customWidth="1"/>
    <col min="4" max="4" width="8.6328125" style="2" customWidth="1"/>
    <col min="5" max="5" width="10.26953125" style="2" customWidth="1"/>
    <col min="6" max="6" width="8.7265625" style="1"/>
    <col min="7" max="7" width="6.36328125" customWidth="1"/>
    <col min="8" max="8" width="12" style="1" customWidth="1"/>
    <col min="9" max="9" width="14.54296875" style="1" customWidth="1"/>
  </cols>
  <sheetData>
    <row r="1" spans="2:9" x14ac:dyDescent="0.35">
      <c r="H1" s="22" t="s">
        <v>39</v>
      </c>
      <c r="I1" s="22"/>
    </row>
    <row r="2" spans="2:9" ht="21" customHeight="1" x14ac:dyDescent="0.35">
      <c r="B2" s="21" t="s">
        <v>0</v>
      </c>
      <c r="C2" s="21"/>
      <c r="D2" s="4" t="s">
        <v>42</v>
      </c>
      <c r="E2" s="4" t="s">
        <v>43</v>
      </c>
      <c r="F2" s="3" t="s">
        <v>2</v>
      </c>
      <c r="H2" s="10" t="s">
        <v>40</v>
      </c>
      <c r="I2" s="10" t="s">
        <v>41</v>
      </c>
    </row>
    <row r="3" spans="2:9" x14ac:dyDescent="0.35">
      <c r="B3" s="28" t="s">
        <v>1</v>
      </c>
      <c r="C3" s="29"/>
      <c r="D3" s="5"/>
      <c r="E3" s="5"/>
      <c r="F3" s="6">
        <f>SUM(F4:F7)</f>
        <v>10</v>
      </c>
      <c r="H3" s="23">
        <f>SUM(I4:I7)</f>
        <v>8.8000000000000007</v>
      </c>
      <c r="I3" s="24"/>
    </row>
    <row r="4" spans="2:9" x14ac:dyDescent="0.35">
      <c r="B4" s="7">
        <v>1</v>
      </c>
      <c r="C4" s="8" t="s">
        <v>3</v>
      </c>
      <c r="D4" s="7">
        <v>0</v>
      </c>
      <c r="E4" s="7">
        <v>100</v>
      </c>
      <c r="F4" s="7">
        <v>3</v>
      </c>
      <c r="H4" s="7">
        <v>100</v>
      </c>
      <c r="I4" s="7">
        <f>(H4/E4)*F4</f>
        <v>3</v>
      </c>
    </row>
    <row r="5" spans="2:9" x14ac:dyDescent="0.35">
      <c r="B5" s="7">
        <v>2</v>
      </c>
      <c r="C5" s="8" t="s">
        <v>4</v>
      </c>
      <c r="D5" s="7">
        <v>0</v>
      </c>
      <c r="E5" s="7">
        <v>100</v>
      </c>
      <c r="F5" s="7">
        <v>3</v>
      </c>
      <c r="H5" s="7">
        <v>80</v>
      </c>
      <c r="I5" s="7">
        <f t="shared" ref="I5:I38" si="0">(H5/E5)*F5</f>
        <v>2.4000000000000004</v>
      </c>
    </row>
    <row r="6" spans="2:9" x14ac:dyDescent="0.35">
      <c r="B6" s="7">
        <v>3</v>
      </c>
      <c r="C6" s="8" t="s">
        <v>5</v>
      </c>
      <c r="D6" s="7">
        <v>0</v>
      </c>
      <c r="E6" s="7">
        <v>100</v>
      </c>
      <c r="F6" s="7">
        <v>2</v>
      </c>
      <c r="H6" s="7">
        <v>70</v>
      </c>
      <c r="I6" s="7">
        <f t="shared" si="0"/>
        <v>1.4</v>
      </c>
    </row>
    <row r="7" spans="2:9" x14ac:dyDescent="0.35">
      <c r="B7" s="7">
        <v>4</v>
      </c>
      <c r="C7" s="8" t="s">
        <v>6</v>
      </c>
      <c r="D7" s="7">
        <v>0</v>
      </c>
      <c r="E7" s="7">
        <v>100</v>
      </c>
      <c r="F7" s="7">
        <v>2</v>
      </c>
      <c r="H7" s="7">
        <v>100</v>
      </c>
      <c r="I7" s="7">
        <f t="shared" si="0"/>
        <v>2</v>
      </c>
    </row>
    <row r="8" spans="2:9" x14ac:dyDescent="0.35">
      <c r="B8" s="28" t="s">
        <v>7</v>
      </c>
      <c r="C8" s="29"/>
      <c r="D8" s="5"/>
      <c r="E8" s="5"/>
      <c r="F8" s="6">
        <f>SUM(F9:F38)</f>
        <v>100</v>
      </c>
      <c r="H8" s="23">
        <f>SUM(I9:I38)</f>
        <v>100</v>
      </c>
      <c r="I8" s="24"/>
    </row>
    <row r="9" spans="2:9" x14ac:dyDescent="0.35">
      <c r="B9" s="7">
        <v>1</v>
      </c>
      <c r="C9" s="8" t="s">
        <v>8</v>
      </c>
      <c r="D9" s="7">
        <v>0</v>
      </c>
      <c r="E9" s="7">
        <v>111</v>
      </c>
      <c r="F9" s="7">
        <v>5</v>
      </c>
      <c r="H9" s="7">
        <v>111</v>
      </c>
      <c r="I9" s="7">
        <f t="shared" si="0"/>
        <v>5</v>
      </c>
    </row>
    <row r="10" spans="2:9" x14ac:dyDescent="0.35">
      <c r="B10" s="7">
        <v>2</v>
      </c>
      <c r="C10" s="8" t="s">
        <v>9</v>
      </c>
      <c r="D10" s="7">
        <v>0</v>
      </c>
      <c r="E10" s="7">
        <v>100</v>
      </c>
      <c r="F10" s="7">
        <v>4</v>
      </c>
      <c r="H10" s="7">
        <v>100</v>
      </c>
      <c r="I10" s="7">
        <f t="shared" si="0"/>
        <v>4</v>
      </c>
    </row>
    <row r="11" spans="2:9" x14ac:dyDescent="0.35">
      <c r="B11" s="7">
        <v>3</v>
      </c>
      <c r="C11" s="8" t="s">
        <v>10</v>
      </c>
      <c r="D11" s="7">
        <v>0</v>
      </c>
      <c r="E11" s="7">
        <v>100</v>
      </c>
      <c r="F11" s="7">
        <v>4</v>
      </c>
      <c r="H11" s="7">
        <v>100</v>
      </c>
      <c r="I11" s="7">
        <f t="shared" si="0"/>
        <v>4</v>
      </c>
    </row>
    <row r="12" spans="2:9" x14ac:dyDescent="0.35">
      <c r="B12" s="7">
        <v>4</v>
      </c>
      <c r="C12" s="8" t="s">
        <v>11</v>
      </c>
      <c r="D12" s="7">
        <v>0</v>
      </c>
      <c r="E12" s="7">
        <v>5</v>
      </c>
      <c r="F12" s="7">
        <v>7</v>
      </c>
      <c r="H12" s="7">
        <v>5</v>
      </c>
      <c r="I12" s="7">
        <f t="shared" si="0"/>
        <v>7</v>
      </c>
    </row>
    <row r="13" spans="2:9" x14ac:dyDescent="0.35">
      <c r="B13" s="7">
        <v>5</v>
      </c>
      <c r="C13" s="8" t="s">
        <v>12</v>
      </c>
      <c r="D13" s="7">
        <v>0</v>
      </c>
      <c r="E13" s="7">
        <v>100</v>
      </c>
      <c r="F13" s="7">
        <v>2</v>
      </c>
      <c r="H13" s="7">
        <v>100</v>
      </c>
      <c r="I13" s="7">
        <f t="shared" si="0"/>
        <v>2</v>
      </c>
    </row>
    <row r="14" spans="2:9" x14ac:dyDescent="0.35">
      <c r="B14" s="7">
        <v>6</v>
      </c>
      <c r="C14" s="8" t="s">
        <v>13</v>
      </c>
      <c r="D14" s="7">
        <v>0</v>
      </c>
      <c r="E14" s="7">
        <v>100</v>
      </c>
      <c r="F14" s="7">
        <v>4</v>
      </c>
      <c r="H14" s="7">
        <v>100</v>
      </c>
      <c r="I14" s="7">
        <f t="shared" si="0"/>
        <v>4</v>
      </c>
    </row>
    <row r="15" spans="2:9" x14ac:dyDescent="0.35">
      <c r="B15" s="7">
        <v>7</v>
      </c>
      <c r="C15" s="8" t="s">
        <v>14</v>
      </c>
      <c r="D15" s="7">
        <v>0</v>
      </c>
      <c r="E15" s="7">
        <v>100</v>
      </c>
      <c r="F15" s="7">
        <v>4</v>
      </c>
      <c r="H15" s="7">
        <v>100</v>
      </c>
      <c r="I15" s="7">
        <f t="shared" si="0"/>
        <v>4</v>
      </c>
    </row>
    <row r="16" spans="2:9" x14ac:dyDescent="0.35">
      <c r="B16" s="7">
        <v>8</v>
      </c>
      <c r="C16" s="8" t="s">
        <v>15</v>
      </c>
      <c r="D16" s="7">
        <v>0</v>
      </c>
      <c r="E16" s="7">
        <v>100</v>
      </c>
      <c r="F16" s="7">
        <v>2</v>
      </c>
      <c r="H16" s="7">
        <v>100</v>
      </c>
      <c r="I16" s="7">
        <f t="shared" si="0"/>
        <v>2</v>
      </c>
    </row>
    <row r="17" spans="2:9" x14ac:dyDescent="0.35">
      <c r="B17" s="7">
        <v>9</v>
      </c>
      <c r="C17" s="8" t="s">
        <v>16</v>
      </c>
      <c r="D17" s="7">
        <v>0</v>
      </c>
      <c r="E17" s="7">
        <v>100</v>
      </c>
      <c r="F17" s="7">
        <v>3</v>
      </c>
      <c r="H17" s="7">
        <v>100</v>
      </c>
      <c r="I17" s="7">
        <f t="shared" si="0"/>
        <v>3</v>
      </c>
    </row>
    <row r="18" spans="2:9" x14ac:dyDescent="0.35">
      <c r="B18" s="7">
        <v>10</v>
      </c>
      <c r="C18" s="8" t="s">
        <v>17</v>
      </c>
      <c r="D18" s="7">
        <v>0</v>
      </c>
      <c r="E18" s="7">
        <v>100</v>
      </c>
      <c r="F18" s="7">
        <v>1</v>
      </c>
      <c r="H18" s="7">
        <v>100</v>
      </c>
      <c r="I18" s="7">
        <f t="shared" si="0"/>
        <v>1</v>
      </c>
    </row>
    <row r="19" spans="2:9" x14ac:dyDescent="0.35">
      <c r="B19" s="7">
        <v>11</v>
      </c>
      <c r="C19" s="8" t="s">
        <v>18</v>
      </c>
      <c r="D19" s="7">
        <v>0</v>
      </c>
      <c r="E19" s="7">
        <v>100</v>
      </c>
      <c r="F19" s="7">
        <v>2</v>
      </c>
      <c r="H19" s="7">
        <v>100</v>
      </c>
      <c r="I19" s="7">
        <f t="shared" si="0"/>
        <v>2</v>
      </c>
    </row>
    <row r="20" spans="2:9" x14ac:dyDescent="0.35">
      <c r="B20" s="7">
        <v>12</v>
      </c>
      <c r="C20" s="8" t="s">
        <v>19</v>
      </c>
      <c r="D20" s="7">
        <v>0</v>
      </c>
      <c r="E20" s="7">
        <v>100</v>
      </c>
      <c r="F20" s="7">
        <v>2</v>
      </c>
      <c r="H20" s="7">
        <v>100</v>
      </c>
      <c r="I20" s="7">
        <f t="shared" si="0"/>
        <v>2</v>
      </c>
    </row>
    <row r="21" spans="2:9" x14ac:dyDescent="0.35">
      <c r="B21" s="7">
        <v>13</v>
      </c>
      <c r="C21" s="8" t="s">
        <v>20</v>
      </c>
      <c r="D21" s="7">
        <v>1</v>
      </c>
      <c r="E21" s="7">
        <v>5</v>
      </c>
      <c r="F21" s="7">
        <v>4.5</v>
      </c>
      <c r="H21" s="7">
        <v>5</v>
      </c>
      <c r="I21" s="7">
        <f t="shared" si="0"/>
        <v>4.5</v>
      </c>
    </row>
    <row r="22" spans="2:9" x14ac:dyDescent="0.35">
      <c r="B22" s="7">
        <v>14</v>
      </c>
      <c r="C22" s="8" t="s">
        <v>21</v>
      </c>
      <c r="D22" s="7">
        <v>0</v>
      </c>
      <c r="E22" s="7">
        <v>100</v>
      </c>
      <c r="F22" s="7">
        <v>4.5</v>
      </c>
      <c r="H22" s="7">
        <v>100</v>
      </c>
      <c r="I22" s="7">
        <f t="shared" si="0"/>
        <v>4.5</v>
      </c>
    </row>
    <row r="23" spans="2:9" x14ac:dyDescent="0.35">
      <c r="B23" s="7">
        <v>15</v>
      </c>
      <c r="C23" s="8" t="s">
        <v>22</v>
      </c>
      <c r="D23" s="7">
        <v>0</v>
      </c>
      <c r="E23" s="7">
        <v>100</v>
      </c>
      <c r="F23" s="7">
        <v>3</v>
      </c>
      <c r="H23" s="7">
        <v>100</v>
      </c>
      <c r="I23" s="7">
        <f t="shared" si="0"/>
        <v>3</v>
      </c>
    </row>
    <row r="24" spans="2:9" x14ac:dyDescent="0.35">
      <c r="B24" s="7">
        <v>16</v>
      </c>
      <c r="C24" s="8" t="s">
        <v>23</v>
      </c>
      <c r="D24" s="7">
        <v>0</v>
      </c>
      <c r="E24" s="7">
        <v>100</v>
      </c>
      <c r="F24" s="7">
        <v>2</v>
      </c>
      <c r="H24" s="7">
        <v>100</v>
      </c>
      <c r="I24" s="7">
        <f t="shared" si="0"/>
        <v>2</v>
      </c>
    </row>
    <row r="25" spans="2:9" x14ac:dyDescent="0.35">
      <c r="B25" s="7">
        <v>17</v>
      </c>
      <c r="C25" s="8" t="s">
        <v>24</v>
      </c>
      <c r="D25" s="7">
        <v>0</v>
      </c>
      <c r="E25" s="7">
        <v>100</v>
      </c>
      <c r="F25" s="7">
        <v>2</v>
      </c>
      <c r="H25" s="7">
        <v>100</v>
      </c>
      <c r="I25" s="7">
        <f t="shared" si="0"/>
        <v>2</v>
      </c>
    </row>
    <row r="26" spans="2:9" x14ac:dyDescent="0.35">
      <c r="B26" s="7">
        <v>18</v>
      </c>
      <c r="C26" s="8" t="s">
        <v>25</v>
      </c>
      <c r="D26" s="7">
        <v>0</v>
      </c>
      <c r="E26" s="7">
        <v>100</v>
      </c>
      <c r="F26" s="7">
        <v>4</v>
      </c>
      <c r="H26" s="7">
        <v>100</v>
      </c>
      <c r="I26" s="7">
        <f t="shared" si="0"/>
        <v>4</v>
      </c>
    </row>
    <row r="27" spans="2:9" x14ac:dyDescent="0.35">
      <c r="B27" s="7">
        <v>19</v>
      </c>
      <c r="C27" s="8" t="s">
        <v>26</v>
      </c>
      <c r="D27" s="7">
        <v>0</v>
      </c>
      <c r="E27" s="7">
        <v>100</v>
      </c>
      <c r="F27" s="7">
        <v>2</v>
      </c>
      <c r="H27" s="7">
        <v>100</v>
      </c>
      <c r="I27" s="7">
        <f t="shared" si="0"/>
        <v>2</v>
      </c>
    </row>
    <row r="28" spans="2:9" x14ac:dyDescent="0.35">
      <c r="B28" s="7">
        <v>20</v>
      </c>
      <c r="C28" s="8" t="s">
        <v>27</v>
      </c>
      <c r="D28" s="7">
        <v>0</v>
      </c>
      <c r="E28" s="7">
        <v>100</v>
      </c>
      <c r="F28" s="7">
        <v>2</v>
      </c>
      <c r="H28" s="7">
        <v>100</v>
      </c>
      <c r="I28" s="7">
        <f t="shared" si="0"/>
        <v>2</v>
      </c>
    </row>
    <row r="29" spans="2:9" x14ac:dyDescent="0.35">
      <c r="B29" s="7">
        <v>21</v>
      </c>
      <c r="C29" s="8" t="s">
        <v>28</v>
      </c>
      <c r="D29" s="7">
        <v>0</v>
      </c>
      <c r="E29" s="7">
        <v>100</v>
      </c>
      <c r="F29" s="7">
        <v>2</v>
      </c>
      <c r="H29" s="7">
        <v>100</v>
      </c>
      <c r="I29" s="7">
        <f t="shared" si="0"/>
        <v>2</v>
      </c>
    </row>
    <row r="30" spans="2:9" x14ac:dyDescent="0.35">
      <c r="B30" s="7">
        <v>22</v>
      </c>
      <c r="C30" s="8" t="s">
        <v>29</v>
      </c>
      <c r="D30" s="7">
        <v>0</v>
      </c>
      <c r="E30" s="7">
        <v>100</v>
      </c>
      <c r="F30" s="7">
        <v>3</v>
      </c>
      <c r="H30" s="7">
        <v>100</v>
      </c>
      <c r="I30" s="7">
        <f t="shared" si="0"/>
        <v>3</v>
      </c>
    </row>
    <row r="31" spans="2:9" x14ac:dyDescent="0.35">
      <c r="B31" s="7">
        <v>23</v>
      </c>
      <c r="C31" s="8" t="s">
        <v>30</v>
      </c>
      <c r="D31" s="7">
        <v>0</v>
      </c>
      <c r="E31" s="7">
        <v>100</v>
      </c>
      <c r="F31" s="7">
        <v>10</v>
      </c>
      <c r="H31" s="7">
        <v>100</v>
      </c>
      <c r="I31" s="7">
        <f t="shared" si="0"/>
        <v>10</v>
      </c>
    </row>
    <row r="32" spans="2:9" x14ac:dyDescent="0.35">
      <c r="B32" s="7">
        <v>24</v>
      </c>
      <c r="C32" s="8" t="s">
        <v>31</v>
      </c>
      <c r="D32" s="7">
        <v>0</v>
      </c>
      <c r="E32" s="7">
        <v>100</v>
      </c>
      <c r="F32" s="7">
        <v>4</v>
      </c>
      <c r="H32" s="7">
        <v>100</v>
      </c>
      <c r="I32" s="7">
        <f t="shared" si="0"/>
        <v>4</v>
      </c>
    </row>
    <row r="33" spans="2:9" x14ac:dyDescent="0.35">
      <c r="B33" s="7">
        <v>25</v>
      </c>
      <c r="C33" s="8" t="s">
        <v>32</v>
      </c>
      <c r="D33" s="7">
        <v>0</v>
      </c>
      <c r="E33" s="7">
        <v>4</v>
      </c>
      <c r="F33" s="7">
        <v>4</v>
      </c>
      <c r="H33" s="7">
        <v>4</v>
      </c>
      <c r="I33" s="7">
        <f t="shared" si="0"/>
        <v>4</v>
      </c>
    </row>
    <row r="34" spans="2:9" x14ac:dyDescent="0.35">
      <c r="B34" s="7">
        <v>26</v>
      </c>
      <c r="C34" s="8" t="s">
        <v>33</v>
      </c>
      <c r="D34" s="7">
        <v>0</v>
      </c>
      <c r="E34" s="7">
        <v>50</v>
      </c>
      <c r="F34" s="7">
        <v>2</v>
      </c>
      <c r="H34" s="7">
        <v>50</v>
      </c>
      <c r="I34" s="7">
        <f t="shared" si="0"/>
        <v>2</v>
      </c>
    </row>
    <row r="35" spans="2:9" x14ac:dyDescent="0.35">
      <c r="B35" s="7">
        <v>27</v>
      </c>
      <c r="C35" s="8" t="s">
        <v>34</v>
      </c>
      <c r="D35" s="7">
        <v>0</v>
      </c>
      <c r="E35" s="7">
        <v>100</v>
      </c>
      <c r="F35" s="7">
        <v>3</v>
      </c>
      <c r="H35" s="7">
        <v>100</v>
      </c>
      <c r="I35" s="7">
        <f t="shared" si="0"/>
        <v>3</v>
      </c>
    </row>
    <row r="36" spans="2:9" x14ac:dyDescent="0.35">
      <c r="B36" s="7">
        <v>28</v>
      </c>
      <c r="C36" s="8" t="s">
        <v>35</v>
      </c>
      <c r="D36" s="7">
        <v>0</v>
      </c>
      <c r="E36" s="7">
        <v>100</v>
      </c>
      <c r="F36" s="7">
        <v>3</v>
      </c>
      <c r="H36" s="7">
        <v>100</v>
      </c>
      <c r="I36" s="7">
        <f t="shared" si="0"/>
        <v>3</v>
      </c>
    </row>
    <row r="37" spans="2:9" x14ac:dyDescent="0.35">
      <c r="B37" s="7">
        <v>29</v>
      </c>
      <c r="C37" s="8" t="s">
        <v>36</v>
      </c>
      <c r="D37" s="7">
        <v>0</v>
      </c>
      <c r="E37" s="7">
        <v>100</v>
      </c>
      <c r="F37" s="7">
        <v>2</v>
      </c>
      <c r="H37" s="7">
        <v>100</v>
      </c>
      <c r="I37" s="7">
        <f t="shared" si="0"/>
        <v>2</v>
      </c>
    </row>
    <row r="38" spans="2:9" x14ac:dyDescent="0.35">
      <c r="B38" s="7">
        <v>30</v>
      </c>
      <c r="C38" s="8" t="s">
        <v>37</v>
      </c>
      <c r="D38" s="7">
        <v>1</v>
      </c>
      <c r="E38" s="7">
        <v>5</v>
      </c>
      <c r="F38" s="7">
        <v>3</v>
      </c>
      <c r="H38" s="7">
        <v>5</v>
      </c>
      <c r="I38" s="7">
        <f t="shared" si="0"/>
        <v>3</v>
      </c>
    </row>
    <row r="39" spans="2:9" x14ac:dyDescent="0.35">
      <c r="B39" s="25" t="s">
        <v>38</v>
      </c>
      <c r="C39" s="26"/>
      <c r="D39" s="26"/>
      <c r="E39" s="27"/>
      <c r="F39" s="9">
        <f>F3+F8</f>
        <v>110</v>
      </c>
      <c r="H39" s="9" t="s">
        <v>44</v>
      </c>
      <c r="I39" s="9">
        <f>SUM(H3,H8)</f>
        <v>108.8</v>
      </c>
    </row>
  </sheetData>
  <mergeCells count="7">
    <mergeCell ref="B2:C2"/>
    <mergeCell ref="H1:I1"/>
    <mergeCell ref="H3:I3"/>
    <mergeCell ref="H8:I8"/>
    <mergeCell ref="B39:E39"/>
    <mergeCell ref="B3:C3"/>
    <mergeCell ref="B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F0DB-ECA4-40B5-85F8-3C2ACB2284B0}">
  <dimension ref="A1:M39"/>
  <sheetViews>
    <sheetView topLeftCell="C1" workbookViewId="0">
      <selection activeCell="M35" sqref="M35:M39"/>
    </sheetView>
  </sheetViews>
  <sheetFormatPr defaultRowHeight="14.5" x14ac:dyDescent="0.35"/>
  <cols>
    <col min="1" max="1" width="10.90625" bestFit="1" customWidth="1"/>
    <col min="2" max="2" width="48.08984375" style="11" customWidth="1"/>
    <col min="3" max="3" width="37.1796875" customWidth="1"/>
    <col min="4" max="4" width="15.54296875" style="17" customWidth="1"/>
    <col min="5" max="5" width="10.81640625" customWidth="1"/>
  </cols>
  <sheetData>
    <row r="1" spans="1:7" x14ac:dyDescent="0.35">
      <c r="A1" t="s">
        <v>45</v>
      </c>
      <c r="B1" s="11" t="s">
        <v>46</v>
      </c>
      <c r="C1" t="s">
        <v>712</v>
      </c>
      <c r="D1" s="1" t="s">
        <v>713</v>
      </c>
      <c r="E1" t="s">
        <v>48</v>
      </c>
      <c r="F1" t="s">
        <v>47</v>
      </c>
    </row>
    <row r="2" spans="1:7" x14ac:dyDescent="0.35">
      <c r="A2" t="s">
        <v>49</v>
      </c>
      <c r="B2" s="11" t="s">
        <v>8</v>
      </c>
      <c r="C2" t="s">
        <v>714</v>
      </c>
      <c r="D2" s="1">
        <v>5</v>
      </c>
      <c r="E2">
        <v>111</v>
      </c>
      <c r="F2" s="1">
        <v>5</v>
      </c>
      <c r="G2" t="str">
        <f>"update m_indikator set indikator = '"&amp;B2&amp;"', opd_pengampu = '"&amp;C2&amp;"', id_opd = "&amp;D2&amp;", nilai_maks="&amp;E2&amp;" where id_indikator = '"&amp;A2&amp;"';"</f>
        <v>update m_indikator set indikator = 'IGA (Innovative Government Award)', opd_pengampu = 'Badan Riset dan Inovasi Daerah', id_opd = 5, nilai_maks=111 where id_indikator = 'C020250201';</v>
      </c>
    </row>
    <row r="3" spans="1:7" x14ac:dyDescent="0.35">
      <c r="A3" t="s">
        <v>50</v>
      </c>
      <c r="B3" s="11" t="s">
        <v>9</v>
      </c>
      <c r="C3" t="s">
        <v>715</v>
      </c>
      <c r="D3" s="1">
        <v>55</v>
      </c>
      <c r="E3">
        <v>100</v>
      </c>
      <c r="F3" s="1">
        <v>4</v>
      </c>
      <c r="G3" t="str">
        <f t="shared" ref="G3:G30" si="0">"update m_indikator set indikator = '"&amp;B3&amp;"', opd_pengampu = '"&amp;C3&amp;"', id_opd = "&amp;D3&amp;", nilai_maks="&amp;E3&amp;" where id_indikator = '"&amp;A3&amp;"';"</f>
        <v>update m_indikator set indikator = 'Indeks Kepuasan Masyarakat', opd_pengampu = 'Biro Organisasi', id_opd = 55, nilai_maks=100 where id_indikator = 'C020250202';</v>
      </c>
    </row>
    <row r="4" spans="1:7" x14ac:dyDescent="0.35">
      <c r="A4" t="s">
        <v>51</v>
      </c>
      <c r="B4" s="11" t="s">
        <v>10</v>
      </c>
      <c r="C4" t="s">
        <v>714</v>
      </c>
      <c r="D4" s="1">
        <v>5</v>
      </c>
      <c r="E4">
        <v>100</v>
      </c>
      <c r="F4" s="1">
        <v>4</v>
      </c>
      <c r="G4" t="str">
        <f t="shared" si="0"/>
        <v>update m_indikator set indikator = 'KOVABLIK (Kompetisi Inovasi Pelayanan Publik)', opd_pengampu = 'Badan Riset dan Inovasi Daerah', id_opd = 5, nilai_maks=100 where id_indikator = 'C020250203';</v>
      </c>
    </row>
    <row r="5" spans="1:7" x14ac:dyDescent="0.35">
      <c r="A5" t="s">
        <v>53</v>
      </c>
      <c r="B5" s="11" t="s">
        <v>12</v>
      </c>
      <c r="C5" t="s">
        <v>717</v>
      </c>
      <c r="D5" s="1">
        <v>48</v>
      </c>
      <c r="E5">
        <v>100</v>
      </c>
      <c r="F5" s="1">
        <v>2</v>
      </c>
      <c r="G5" t="str">
        <f t="shared" si="0"/>
        <v>update m_indikator set indikator = 'Percepatan Pelaksanaan APBD', opd_pengampu = 'Biro Administrasi Pembangunan', id_opd = 48, nilai_maks=100 where id_indikator = 'C020250204';</v>
      </c>
    </row>
    <row r="6" spans="1:7" x14ac:dyDescent="0.35">
      <c r="A6" t="s">
        <v>54</v>
      </c>
      <c r="B6" s="11" t="s">
        <v>13</v>
      </c>
      <c r="C6" t="s">
        <v>717</v>
      </c>
      <c r="D6" s="1">
        <v>48</v>
      </c>
      <c r="E6">
        <v>100</v>
      </c>
      <c r="F6" s="1">
        <v>4</v>
      </c>
      <c r="G6" t="str">
        <f t="shared" si="0"/>
        <v>update m_indikator set indikator = 'Monitoring dan Evaluasi Pembangunan', opd_pengampu = 'Biro Administrasi Pembangunan', id_opd = 48, nilai_maks=100 where id_indikator = 'C020250205';</v>
      </c>
    </row>
    <row r="7" spans="1:7" x14ac:dyDescent="0.35">
      <c r="A7" t="s">
        <v>55</v>
      </c>
      <c r="B7" s="11" t="s">
        <v>14</v>
      </c>
      <c r="C7" t="s">
        <v>718</v>
      </c>
      <c r="D7" s="1">
        <v>25</v>
      </c>
      <c r="E7">
        <v>100</v>
      </c>
      <c r="F7" s="1">
        <v>4</v>
      </c>
      <c r="G7" t="str">
        <f t="shared" si="0"/>
        <v>update m_indikator set indikator = 'Anggaran Responsif Gender', opd_pengampu = 'Dinas Pemberdayaan Perempuan,Perlindungan Anak dan Kependudukan', id_opd = 25, nilai_maks=100 where id_indikator = 'C020250206';</v>
      </c>
    </row>
    <row r="8" spans="1:7" x14ac:dyDescent="0.35">
      <c r="A8" t="s">
        <v>56</v>
      </c>
      <c r="B8" s="11" t="s">
        <v>15</v>
      </c>
      <c r="C8" t="s">
        <v>719</v>
      </c>
      <c r="D8" s="1">
        <v>52</v>
      </c>
      <c r="E8">
        <v>100</v>
      </c>
      <c r="F8" s="1">
        <v>2</v>
      </c>
      <c r="G8" t="str">
        <f t="shared" si="0"/>
        <v>update m_indikator set indikator = 'E-Purchasing', opd_pengampu = 'Biro Pengadaan Barang/Jasa', id_opd = 52, nilai_maks=100 where id_indikator = 'C020250207';</v>
      </c>
    </row>
    <row r="9" spans="1:7" x14ac:dyDescent="0.35">
      <c r="A9" t="s">
        <v>57</v>
      </c>
      <c r="B9" s="11" t="s">
        <v>16</v>
      </c>
      <c r="C9" t="s">
        <v>719</v>
      </c>
      <c r="D9" s="1">
        <v>52</v>
      </c>
      <c r="E9">
        <v>100</v>
      </c>
      <c r="F9" s="1">
        <v>3</v>
      </c>
      <c r="G9" t="str">
        <f t="shared" si="0"/>
        <v>update m_indikator set indikator = 'E-Kontrak', opd_pengampu = 'Biro Pengadaan Barang/Jasa', id_opd = 52, nilai_maks=100 where id_indikator = 'C020250208';</v>
      </c>
    </row>
    <row r="10" spans="1:7" x14ac:dyDescent="0.35">
      <c r="A10" t="s">
        <v>58</v>
      </c>
      <c r="B10" s="11" t="s">
        <v>17</v>
      </c>
      <c r="C10" t="s">
        <v>719</v>
      </c>
      <c r="D10" s="1">
        <v>52</v>
      </c>
      <c r="E10">
        <v>100</v>
      </c>
      <c r="F10" s="1">
        <v>1</v>
      </c>
      <c r="G10" t="str">
        <f t="shared" si="0"/>
        <v>update m_indikator set indikator = 'Toko Daring', opd_pengampu = 'Biro Pengadaan Barang/Jasa', id_opd = 52, nilai_maks=100 where id_indikator = 'C020250209';</v>
      </c>
    </row>
    <row r="11" spans="1:7" x14ac:dyDescent="0.35">
      <c r="A11" t="s">
        <v>59</v>
      </c>
      <c r="B11" s="11" t="s">
        <v>18</v>
      </c>
      <c r="C11" t="s">
        <v>719</v>
      </c>
      <c r="D11" s="1">
        <v>52</v>
      </c>
      <c r="E11">
        <v>100</v>
      </c>
      <c r="F11" s="1">
        <v>2</v>
      </c>
      <c r="G11" t="str">
        <f t="shared" si="0"/>
        <v>update m_indikator set indikator = 'Non E-Tendering dan Non E-Purchasing', opd_pengampu = 'Biro Pengadaan Barang/Jasa', id_opd = 52, nilai_maks=100 where id_indikator = 'C020250210';</v>
      </c>
    </row>
    <row r="12" spans="1:7" x14ac:dyDescent="0.35">
      <c r="A12" t="s">
        <v>60</v>
      </c>
      <c r="B12" s="11" t="s">
        <v>19</v>
      </c>
      <c r="C12" t="s">
        <v>719</v>
      </c>
      <c r="D12" s="1">
        <v>52</v>
      </c>
      <c r="E12">
        <v>100</v>
      </c>
      <c r="F12" s="1">
        <v>2</v>
      </c>
      <c r="G12" t="str">
        <f t="shared" si="0"/>
        <v>update m_indikator set indikator = 'E-Katalog', opd_pengampu = 'Biro Pengadaan Barang/Jasa', id_opd = 52, nilai_maks=100 where id_indikator = 'C020250211';</v>
      </c>
    </row>
    <row r="13" spans="1:7" x14ac:dyDescent="0.35">
      <c r="A13" t="s">
        <v>61</v>
      </c>
      <c r="B13" s="11" t="s">
        <v>711</v>
      </c>
      <c r="C13" t="s">
        <v>720</v>
      </c>
      <c r="D13" s="1">
        <v>21</v>
      </c>
      <c r="E13">
        <v>5</v>
      </c>
      <c r="F13" s="1">
        <v>4.5</v>
      </c>
      <c r="G13" t="str">
        <f t="shared" si="0"/>
        <v>update m_indikator set indikator = 'Nilai SPBE', opd_pengampu = 'Dinas Komunikasi dan Informatika', id_opd = 21, nilai_maks=5 where id_indikator = 'C020250212';</v>
      </c>
    </row>
    <row r="14" spans="1:7" x14ac:dyDescent="0.35">
      <c r="A14" t="s">
        <v>62</v>
      </c>
      <c r="B14" s="11" t="s">
        <v>21</v>
      </c>
      <c r="C14" t="s">
        <v>715</v>
      </c>
      <c r="D14" s="1">
        <v>55</v>
      </c>
      <c r="E14">
        <v>100</v>
      </c>
      <c r="F14" s="1">
        <v>4.5</v>
      </c>
      <c r="G14" t="str">
        <f t="shared" si="0"/>
        <v>update m_indikator set indikator = 'Evaluasi Ketatalaksanaan Pemerintahan', opd_pengampu = 'Biro Organisasi', id_opd = 55, nilai_maks=100 where id_indikator = 'C020250213';</v>
      </c>
    </row>
    <row r="15" spans="1:7" x14ac:dyDescent="0.35">
      <c r="A15" t="s">
        <v>63</v>
      </c>
      <c r="B15" s="11" t="s">
        <v>22</v>
      </c>
      <c r="C15" t="s">
        <v>724</v>
      </c>
      <c r="D15" s="1">
        <v>31</v>
      </c>
      <c r="E15">
        <v>100</v>
      </c>
      <c r="F15" s="1">
        <v>3</v>
      </c>
      <c r="G15" t="str">
        <f t="shared" si="0"/>
        <v>update m_indikator set indikator = 'Indeks Penyelenggaraan Kearsipan', opd_pengampu = 'Dinas Perpustakaan dan Kearsipan', id_opd = 31, nilai_maks=100 where id_indikator = 'C020250214';</v>
      </c>
    </row>
    <row r="16" spans="1:7" x14ac:dyDescent="0.35">
      <c r="A16" t="s">
        <v>65</v>
      </c>
      <c r="B16" s="11" t="s">
        <v>23</v>
      </c>
      <c r="C16" t="s">
        <v>720</v>
      </c>
      <c r="D16" s="1">
        <v>21</v>
      </c>
      <c r="E16">
        <v>100</v>
      </c>
      <c r="F16" s="1">
        <v>2</v>
      </c>
      <c r="G16" t="str">
        <f t="shared" si="0"/>
        <v>update m_indikator set indikator = 'Evaluasi Keamanan Informasi', opd_pengampu = 'Dinas Komunikasi dan Informatika', id_opd = 21, nilai_maks=100 where id_indikator = 'C020250215';</v>
      </c>
    </row>
    <row r="17" spans="1:7" x14ac:dyDescent="0.35">
      <c r="A17" t="s">
        <v>66</v>
      </c>
      <c r="B17" s="11" t="s">
        <v>24</v>
      </c>
      <c r="C17" t="s">
        <v>720</v>
      </c>
      <c r="D17" s="1">
        <v>21</v>
      </c>
      <c r="E17">
        <v>100</v>
      </c>
      <c r="F17" s="1">
        <v>2</v>
      </c>
      <c r="G17" t="str">
        <f t="shared" si="0"/>
        <v>update m_indikator set indikator = 'Pengelolaan Komunikasi Publik dan Media', opd_pengampu = 'Dinas Komunikasi dan Informatika', id_opd = 21, nilai_maks=100 where id_indikator = 'C020250216';</v>
      </c>
    </row>
    <row r="18" spans="1:7" x14ac:dyDescent="0.35">
      <c r="A18" t="s">
        <v>67</v>
      </c>
      <c r="B18" s="11" t="s">
        <v>25</v>
      </c>
      <c r="C18" t="s">
        <v>719</v>
      </c>
      <c r="D18" s="1">
        <v>52</v>
      </c>
      <c r="E18">
        <v>100</v>
      </c>
      <c r="F18" s="1">
        <v>4</v>
      </c>
      <c r="G18" t="str">
        <f t="shared" si="0"/>
        <v>update m_indikator set indikator = 'SIRUP (Sistem Informasi Rencana Umum Pengadaan)', opd_pengampu = 'Biro Pengadaan Barang/Jasa', id_opd = 52, nilai_maks=100 where id_indikator = 'C020250217';</v>
      </c>
    </row>
    <row r="19" spans="1:7" x14ac:dyDescent="0.35">
      <c r="A19" t="s">
        <v>68</v>
      </c>
      <c r="B19" s="11" t="s">
        <v>26</v>
      </c>
      <c r="C19" t="s">
        <v>721</v>
      </c>
      <c r="D19" s="1">
        <v>1</v>
      </c>
      <c r="E19">
        <v>100</v>
      </c>
      <c r="F19" s="1">
        <v>2</v>
      </c>
      <c r="G19" t="str">
        <f t="shared" si="0"/>
        <v>update m_indikator set indikator = 'LHKAN (Laporan Harta Kekayaan Aparatur Negara)', opd_pengampu = 'Badan Kepegawaian Daerah', id_opd = 1, nilai_maks=100 where id_indikator = 'C020250218';</v>
      </c>
    </row>
    <row r="20" spans="1:7" x14ac:dyDescent="0.35">
      <c r="A20" t="s">
        <v>70</v>
      </c>
      <c r="B20" s="11" t="s">
        <v>27</v>
      </c>
      <c r="C20" t="s">
        <v>720</v>
      </c>
      <c r="D20" s="1">
        <v>21</v>
      </c>
      <c r="E20">
        <v>100</v>
      </c>
      <c r="F20" s="1">
        <v>2</v>
      </c>
      <c r="G20" t="str">
        <f t="shared" si="0"/>
        <v>update m_indikator set indikator = 'Satu Data Jawa Timur', opd_pengampu = 'Dinas Komunikasi dan Informatika', id_opd = 21, nilai_maks=100 where id_indikator = 'C020250219';</v>
      </c>
    </row>
    <row r="21" spans="1:7" x14ac:dyDescent="0.35">
      <c r="A21" t="s">
        <v>71</v>
      </c>
      <c r="B21" s="11" t="s">
        <v>72</v>
      </c>
      <c r="C21" t="s">
        <v>720</v>
      </c>
      <c r="D21" s="1">
        <v>21</v>
      </c>
      <c r="E21">
        <v>100</v>
      </c>
      <c r="F21" s="1">
        <v>2</v>
      </c>
      <c r="G21" t="str">
        <f t="shared" si="0"/>
        <v>update m_indikator set indikator = 'PPID', opd_pengampu = 'Dinas Komunikasi dan Informatika', id_opd = 21, nilai_maks=100 where id_indikator = 'C020250220';</v>
      </c>
    </row>
    <row r="22" spans="1:7" x14ac:dyDescent="0.35">
      <c r="A22" t="s">
        <v>73</v>
      </c>
      <c r="B22" s="11" t="s">
        <v>29</v>
      </c>
      <c r="C22" t="s">
        <v>715</v>
      </c>
      <c r="D22" s="1">
        <v>55</v>
      </c>
      <c r="E22">
        <v>100</v>
      </c>
      <c r="F22" s="1">
        <v>3</v>
      </c>
      <c r="G22" t="str">
        <f t="shared" si="0"/>
        <v>update m_indikator set indikator = 'Zona Integritas', opd_pengampu = 'Biro Organisasi', id_opd = 55, nilai_maks=100 where id_indikator = 'C020250221';</v>
      </c>
    </row>
    <row r="23" spans="1:7" x14ac:dyDescent="0.35">
      <c r="A23" t="s">
        <v>74</v>
      </c>
      <c r="B23" s="11" t="s">
        <v>30</v>
      </c>
      <c r="C23" t="s">
        <v>715</v>
      </c>
      <c r="D23" s="1">
        <v>55</v>
      </c>
      <c r="E23">
        <v>100</v>
      </c>
      <c r="F23" s="1">
        <v>10</v>
      </c>
      <c r="G23" t="str">
        <f t="shared" si="0"/>
        <v>update m_indikator set indikator = 'SAKIP (Sistem Akuntabilitas Kinerja Instansi Pemerintahan)', opd_pengampu = 'Biro Organisasi', id_opd = 55, nilai_maks=100 where id_indikator = 'C020250222';</v>
      </c>
    </row>
    <row r="24" spans="1:7" x14ac:dyDescent="0.35">
      <c r="A24" t="s">
        <v>75</v>
      </c>
      <c r="B24" s="11" t="s">
        <v>31</v>
      </c>
      <c r="C24" t="s">
        <v>722</v>
      </c>
      <c r="D24" s="1">
        <v>39</v>
      </c>
      <c r="E24">
        <v>100</v>
      </c>
      <c r="F24" s="1">
        <v>4</v>
      </c>
      <c r="G24" t="str">
        <f t="shared" si="0"/>
        <v>update m_indikator set indikator = 'TLHP (Tindak Lanjut Hasil Pemeriksaan)', opd_pengampu = 'Inspektorat', id_opd = 39, nilai_maks=100 where id_indikator = 'C020250223';</v>
      </c>
    </row>
    <row r="25" spans="1:7" x14ac:dyDescent="0.35">
      <c r="A25" t="s">
        <v>77</v>
      </c>
      <c r="B25" s="11" t="s">
        <v>32</v>
      </c>
      <c r="C25" t="s">
        <v>716</v>
      </c>
      <c r="D25" s="1">
        <v>6</v>
      </c>
      <c r="E25">
        <v>4</v>
      </c>
      <c r="F25" s="1">
        <v>4</v>
      </c>
      <c r="G25" t="str">
        <f t="shared" si="0"/>
        <v>update m_indikator set indikator = 'Indeks Kinerja Pengelolaan Barang MIlik Daerah', opd_pengampu = 'Badan Pengelola Keuangan dan Aset Daerah', id_opd = 6, nilai_maks=4 where id_indikator = 'C020250224';</v>
      </c>
    </row>
    <row r="26" spans="1:7" x14ac:dyDescent="0.35">
      <c r="A26" t="s">
        <v>79</v>
      </c>
      <c r="B26" s="11" t="s">
        <v>725</v>
      </c>
      <c r="C26" t="s">
        <v>715</v>
      </c>
      <c r="D26" s="1">
        <v>55</v>
      </c>
      <c r="E26">
        <v>100</v>
      </c>
      <c r="F26" s="1">
        <v>2</v>
      </c>
      <c r="G26" t="str">
        <f t="shared" si="0"/>
        <v>update m_indikator set indikator = 'Survei Budaya Kerja BerAKHLAK', opd_pengampu = 'Biro Organisasi', id_opd = 55, nilai_maks=100 where id_indikator = 'C020250225';</v>
      </c>
    </row>
    <row r="27" spans="1:7" x14ac:dyDescent="0.35">
      <c r="A27" t="s">
        <v>81</v>
      </c>
      <c r="B27" s="11" t="s">
        <v>34</v>
      </c>
      <c r="C27" t="s">
        <v>721</v>
      </c>
      <c r="D27" s="1">
        <v>1</v>
      </c>
      <c r="E27">
        <v>100</v>
      </c>
      <c r="F27" s="1">
        <v>3</v>
      </c>
      <c r="G27" t="str">
        <f t="shared" si="0"/>
        <v>update m_indikator set indikator = 'IP ASN', opd_pengampu = 'Badan Kepegawaian Daerah', id_opd = 1, nilai_maks=100 where id_indikator = 'C020250226';</v>
      </c>
    </row>
    <row r="28" spans="1:7" x14ac:dyDescent="0.35">
      <c r="A28" t="s">
        <v>82</v>
      </c>
      <c r="B28" s="11" t="s">
        <v>35</v>
      </c>
      <c r="C28" t="s">
        <v>723</v>
      </c>
      <c r="D28" s="1">
        <v>7</v>
      </c>
      <c r="E28">
        <v>100</v>
      </c>
      <c r="F28" s="1">
        <v>3</v>
      </c>
      <c r="G28" t="str">
        <f t="shared" si="0"/>
        <v>update m_indikator set indikator = 'Pemenuhan Kebutuhan Pengembangan Kompetensi ASN', opd_pengampu = 'Badan Pengembangan Sumber Daya Manusia', id_opd = 7, nilai_maks=100 where id_indikator = 'C020250227';</v>
      </c>
    </row>
    <row r="29" spans="1:7" x14ac:dyDescent="0.35">
      <c r="A29" t="s">
        <v>83</v>
      </c>
      <c r="B29" s="11" t="s">
        <v>36</v>
      </c>
      <c r="C29" t="s">
        <v>720</v>
      </c>
      <c r="D29" s="1">
        <v>21</v>
      </c>
      <c r="E29">
        <v>100</v>
      </c>
      <c r="F29" s="1">
        <v>2</v>
      </c>
      <c r="G29" t="str">
        <f t="shared" si="0"/>
        <v>update m_indikator set indikator = 'Evaluasi Aplikasi', opd_pengampu = 'Dinas Komunikasi dan Informatika', id_opd = 21, nilai_maks=100 where id_indikator = 'C020250228';</v>
      </c>
    </row>
    <row r="30" spans="1:7" x14ac:dyDescent="0.35">
      <c r="A30" t="s">
        <v>84</v>
      </c>
      <c r="B30" s="11" t="s">
        <v>37</v>
      </c>
      <c r="C30" t="s">
        <v>720</v>
      </c>
      <c r="D30" s="1">
        <v>21</v>
      </c>
      <c r="E30">
        <v>5</v>
      </c>
      <c r="F30" s="1">
        <v>3</v>
      </c>
      <c r="G30" t="str">
        <f t="shared" si="0"/>
        <v>update m_indikator set indikator = 'SP4N-LAPOR!', opd_pengampu = 'Dinas Komunikasi dan Informatika', id_opd = 21, nilai_maks=5 where id_indikator = 'C020250229';</v>
      </c>
    </row>
    <row r="31" spans="1:7" x14ac:dyDescent="0.35">
      <c r="B31" s="16" t="s">
        <v>11</v>
      </c>
      <c r="E31" s="7">
        <v>5</v>
      </c>
      <c r="F31" s="7">
        <v>7</v>
      </c>
    </row>
    <row r="34" spans="1:13" s="19" customFormat="1" x14ac:dyDescent="0.35">
      <c r="A34" s="18" t="s">
        <v>727</v>
      </c>
      <c r="D34" s="20"/>
    </row>
    <row r="35" spans="1:13" x14ac:dyDescent="0.35">
      <c r="A35" t="s">
        <v>45</v>
      </c>
      <c r="B35" s="11" t="s">
        <v>46</v>
      </c>
      <c r="C35" t="s">
        <v>728</v>
      </c>
      <c r="D35" s="17" t="s">
        <v>47</v>
      </c>
      <c r="E35" t="s">
        <v>48</v>
      </c>
      <c r="F35" t="s">
        <v>729</v>
      </c>
      <c r="G35" t="s">
        <v>730</v>
      </c>
      <c r="H35" t="s">
        <v>712</v>
      </c>
      <c r="I35" t="s">
        <v>713</v>
      </c>
      <c r="J35" t="s">
        <v>731</v>
      </c>
      <c r="K35" t="s">
        <v>732</v>
      </c>
      <c r="L35" t="s">
        <v>733</v>
      </c>
      <c r="M35" t="s">
        <v>739</v>
      </c>
    </row>
    <row r="36" spans="1:13" x14ac:dyDescent="0.35">
      <c r="A36" t="s">
        <v>735</v>
      </c>
      <c r="B36" s="11" t="s">
        <v>3</v>
      </c>
      <c r="C36" t="s">
        <v>738</v>
      </c>
      <c r="D36" s="17">
        <v>3</v>
      </c>
      <c r="E36">
        <v>100</v>
      </c>
      <c r="F36">
        <v>1</v>
      </c>
      <c r="G36">
        <v>1</v>
      </c>
      <c r="H36" t="s">
        <v>715</v>
      </c>
      <c r="I36">
        <v>55</v>
      </c>
      <c r="J36" t="s">
        <v>734</v>
      </c>
      <c r="K36" t="s">
        <v>715</v>
      </c>
      <c r="L36">
        <v>1</v>
      </c>
      <c r="M36" t="str">
        <f>"('"&amp;A36&amp;"', '"&amp;B36&amp;"', '"&amp;C36&amp;"', "&amp;D36&amp;", "&amp;E36&amp;", "&amp;F36&amp;", "&amp;G36&amp;", '"&amp;H36&amp;"', "&amp;I36&amp;", '"&amp;J36&amp;"', '"&amp;K36&amp;"', "&amp;L36&amp;"),"</f>
        <v>('C020250101', 'Rencana Aksi Pembangunan RB General', 'C0202501', 3, 100, 1, 1, 'Biro Organisasi', 55, 'opd', 'Biro Organisasi', 1),</v>
      </c>
    </row>
    <row r="37" spans="1:13" x14ac:dyDescent="0.35">
      <c r="A37" t="s">
        <v>736</v>
      </c>
      <c r="B37" s="11" t="s">
        <v>4</v>
      </c>
      <c r="C37" t="s">
        <v>738</v>
      </c>
      <c r="D37" s="17">
        <v>3</v>
      </c>
      <c r="E37">
        <v>100</v>
      </c>
      <c r="F37">
        <v>1</v>
      </c>
      <c r="G37">
        <v>1</v>
      </c>
      <c r="H37" t="s">
        <v>722</v>
      </c>
      <c r="I37">
        <v>39</v>
      </c>
      <c r="J37" t="s">
        <v>734</v>
      </c>
      <c r="K37" t="s">
        <v>722</v>
      </c>
      <c r="L37">
        <v>1</v>
      </c>
      <c r="M37" t="str">
        <f t="shared" ref="M37:M39" si="1">"('"&amp;A37&amp;"', '"&amp;B37&amp;"', '"&amp;C37&amp;"', "&amp;D37&amp;", "&amp;E37&amp;", "&amp;F37&amp;", "&amp;G37&amp;", '"&amp;H37&amp;"', "&amp;I37&amp;", '"&amp;J37&amp;"', '"&amp;K37&amp;"', "&amp;L37&amp;"),"</f>
        <v>('C020250102', 'Tingkat Implementasi Rencana Aksi RB General', 'C0202501', 3, 100, 1, 1, 'Inspektorat', 39, 'opd', 'Inspektorat', 1),</v>
      </c>
    </row>
    <row r="38" spans="1:13" x14ac:dyDescent="0.35">
      <c r="A38" t="s">
        <v>91</v>
      </c>
      <c r="B38" s="11" t="s">
        <v>5</v>
      </c>
      <c r="C38" t="s">
        <v>738</v>
      </c>
      <c r="D38" s="17">
        <v>2</v>
      </c>
      <c r="E38">
        <v>100</v>
      </c>
      <c r="F38">
        <v>1</v>
      </c>
      <c r="G38">
        <v>1</v>
      </c>
      <c r="H38" t="s">
        <v>715</v>
      </c>
      <c r="I38">
        <v>55</v>
      </c>
      <c r="J38" t="s">
        <v>734</v>
      </c>
      <c r="K38" t="s">
        <v>715</v>
      </c>
      <c r="L38">
        <v>1</v>
      </c>
      <c r="M38" t="str">
        <f t="shared" si="1"/>
        <v>('C020250103', 'Capaian IKU', 'C0202501', 2, 100, 1, 1, 'Biro Organisasi', 55, 'opd', 'Biro Organisasi', 1),</v>
      </c>
    </row>
    <row r="39" spans="1:13" x14ac:dyDescent="0.35">
      <c r="A39" t="s">
        <v>737</v>
      </c>
      <c r="B39" s="11" t="s">
        <v>6</v>
      </c>
      <c r="C39" t="s">
        <v>738</v>
      </c>
      <c r="D39" s="17">
        <v>2</v>
      </c>
      <c r="E39">
        <v>100</v>
      </c>
      <c r="F39">
        <v>1</v>
      </c>
      <c r="G39">
        <v>1</v>
      </c>
      <c r="H39" t="s">
        <v>715</v>
      </c>
      <c r="I39">
        <v>55</v>
      </c>
      <c r="J39" t="s">
        <v>734</v>
      </c>
      <c r="K39" t="s">
        <v>715</v>
      </c>
      <c r="L39">
        <v>1</v>
      </c>
      <c r="M39" t="str">
        <f t="shared" si="1"/>
        <v>('C020250104', 'Kinerja Agen Perubahan', 'C0202501', 2, 100, 1, 1, 'Biro Organisasi', 55, 'opd', 'Biro Organisasi', 1),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C1EB-D488-45AF-A60B-A80647608EC9}">
  <sheetPr filterMode="1"/>
  <dimension ref="A1:V14560"/>
  <sheetViews>
    <sheetView topLeftCell="B1" workbookViewId="0">
      <selection activeCell="C394" sqref="C394"/>
    </sheetView>
  </sheetViews>
  <sheetFormatPr defaultRowHeight="14.5" x14ac:dyDescent="0.35"/>
  <cols>
    <col min="1" max="1" width="24.36328125" customWidth="1"/>
    <col min="2" max="2" width="18.81640625" customWidth="1"/>
    <col min="3" max="3" width="10.90625" bestFit="1" customWidth="1"/>
    <col min="4" max="4" width="31.1796875" customWidth="1"/>
    <col min="5" max="5" width="8.90625" style="1" customWidth="1"/>
    <col min="6" max="6" width="11.54296875" style="1" customWidth="1"/>
    <col min="7" max="7" width="15" style="1" customWidth="1"/>
    <col min="8" max="8" width="8.7265625" style="1"/>
    <col min="9" max="9" width="9.6328125" style="1" bestFit="1" customWidth="1"/>
    <col min="16" max="16" width="15.54296875" bestFit="1" customWidth="1"/>
    <col min="20" max="20" width="216.7265625" bestFit="1" customWidth="1"/>
  </cols>
  <sheetData>
    <row r="1" spans="1:21" x14ac:dyDescent="0.35">
      <c r="A1" t="s">
        <v>87</v>
      </c>
      <c r="B1" t="s">
        <v>45</v>
      </c>
      <c r="E1" s="1" t="s">
        <v>88</v>
      </c>
      <c r="F1" s="1" t="s">
        <v>48</v>
      </c>
      <c r="G1" s="1" t="s">
        <v>726</v>
      </c>
      <c r="H1" s="1" t="s">
        <v>47</v>
      </c>
      <c r="I1" s="1" t="s">
        <v>89</v>
      </c>
    </row>
    <row r="2" spans="1:21" hidden="1" x14ac:dyDescent="0.35">
      <c r="A2" t="s">
        <v>99</v>
      </c>
      <c r="B2" t="s">
        <v>91</v>
      </c>
      <c r="C2" t="s">
        <v>51</v>
      </c>
      <c r="D2" t="s">
        <v>52</v>
      </c>
      <c r="E2" s="1">
        <v>1</v>
      </c>
      <c r="F2" s="1">
        <f>VLOOKUP(C2,m_indikator!$A$2:$F$30,5,TRUE)</f>
        <v>100</v>
      </c>
      <c r="G2" s="15">
        <v>0</v>
      </c>
      <c r="H2" s="1">
        <f>VLOOKUP(C2,m_indikator!$A$2:$F$30,6,TRUE)</f>
        <v>4</v>
      </c>
      <c r="I2" s="15">
        <f t="shared" ref="I2:I65" si="0">(G2/F2)*H2</f>
        <v>0</v>
      </c>
      <c r="J2" t="str">
        <f t="shared" ref="J2:J65" si="1">"update evaluasi set tahun = "&amp;E2&amp;", nilai_maks = "&amp;F2&amp;", nilai_input="&amp;G2&amp;", bobot = "&amp;H2&amp;", nilai_akhir = "&amp;I2&amp;", id_indikator = '"&amp;C2&amp;"' where id_evaluasi = '"&amp;A2&amp;"';"</f>
        <v>update evaluasi set tahun = 1, nilai_maks = 100, nilai_input=0, bobot = 4, nilai_akhir = 0, id_indikator = 'C020250203' where id_evaluasi = '20250001_C020250103';</v>
      </c>
      <c r="P2" s="12"/>
      <c r="T2" s="13"/>
      <c r="U2" s="13"/>
    </row>
    <row r="3" spans="1:21" hidden="1" x14ac:dyDescent="0.35">
      <c r="A3" t="s">
        <v>100</v>
      </c>
      <c r="B3" t="s">
        <v>91</v>
      </c>
      <c r="C3" t="s">
        <v>51</v>
      </c>
      <c r="D3" t="s">
        <v>52</v>
      </c>
      <c r="E3" s="1">
        <v>1</v>
      </c>
      <c r="F3" s="1">
        <f>VLOOKUP(C3,m_indikator!$A$2:$F$30,5,TRUE)</f>
        <v>100</v>
      </c>
      <c r="G3" s="15">
        <v>0</v>
      </c>
      <c r="H3" s="1">
        <f>VLOOKUP(C3,m_indikator!$A$2:$F$30,6,TRUE)</f>
        <v>4</v>
      </c>
      <c r="I3" s="15">
        <f t="shared" si="0"/>
        <v>0</v>
      </c>
      <c r="J3" t="str">
        <f t="shared" si="1"/>
        <v>update evaluasi set tahun = 1, nilai_maks = 100, nilai_input=0, bobot = 4, nilai_akhir = 0, id_indikator = 'C020250203' where id_evaluasi = '20250004_C020250103';</v>
      </c>
      <c r="P3" s="12"/>
      <c r="Q3" s="12"/>
      <c r="T3" s="13"/>
      <c r="U3" s="13"/>
    </row>
    <row r="4" spans="1:21" hidden="1" x14ac:dyDescent="0.35">
      <c r="A4" t="s">
        <v>101</v>
      </c>
      <c r="B4" t="s">
        <v>91</v>
      </c>
      <c r="C4" t="s">
        <v>51</v>
      </c>
      <c r="D4" t="s">
        <v>52</v>
      </c>
      <c r="E4" s="1">
        <v>1</v>
      </c>
      <c r="F4" s="1">
        <f>VLOOKUP(C4,m_indikator!$A$2:$F$30,5,TRUE)</f>
        <v>100</v>
      </c>
      <c r="G4" s="15">
        <v>0</v>
      </c>
      <c r="H4" s="1">
        <f>VLOOKUP(C4,m_indikator!$A$2:$F$30,6,TRUE)</f>
        <v>4</v>
      </c>
      <c r="I4" s="15">
        <f t="shared" si="0"/>
        <v>0</v>
      </c>
      <c r="J4" t="str">
        <f t="shared" si="1"/>
        <v>update evaluasi set tahun = 1, nilai_maks = 100, nilai_input=0, bobot = 4, nilai_akhir = 0, id_indikator = 'C020250203' where id_evaluasi = '20250007_C020250103';</v>
      </c>
      <c r="P4" s="12"/>
      <c r="Q4" s="12"/>
      <c r="T4" s="13"/>
      <c r="U4" s="13"/>
    </row>
    <row r="5" spans="1:21" hidden="1" x14ac:dyDescent="0.35">
      <c r="A5" t="s">
        <v>102</v>
      </c>
      <c r="B5" t="s">
        <v>91</v>
      </c>
      <c r="C5" t="s">
        <v>51</v>
      </c>
      <c r="D5" t="s">
        <v>52</v>
      </c>
      <c r="E5" s="1">
        <v>1</v>
      </c>
      <c r="F5" s="1">
        <f>VLOOKUP(C5,m_indikator!$A$2:$F$30,5,TRUE)</f>
        <v>100</v>
      </c>
      <c r="G5" s="15">
        <v>0</v>
      </c>
      <c r="H5" s="1">
        <f>VLOOKUP(C5,m_indikator!$A$2:$F$30,6,TRUE)</f>
        <v>4</v>
      </c>
      <c r="I5" s="15">
        <f t="shared" si="0"/>
        <v>0</v>
      </c>
      <c r="J5" t="str">
        <f t="shared" si="1"/>
        <v>update evaluasi set tahun = 1, nilai_maks = 100, nilai_input=0, bobot = 4, nilai_akhir = 0, id_indikator = 'C020250203' where id_evaluasi = '20250011_C020250103';</v>
      </c>
      <c r="P5" s="12"/>
      <c r="Q5" s="12"/>
      <c r="T5" s="13"/>
      <c r="U5" s="13"/>
    </row>
    <row r="6" spans="1:21" hidden="1" x14ac:dyDescent="0.35">
      <c r="A6" t="s">
        <v>103</v>
      </c>
      <c r="B6" t="s">
        <v>91</v>
      </c>
      <c r="C6" t="s">
        <v>51</v>
      </c>
      <c r="D6" t="s">
        <v>52</v>
      </c>
      <c r="E6" s="1">
        <v>1</v>
      </c>
      <c r="F6" s="1">
        <f>VLOOKUP(C6,m_indikator!$A$2:$F$30,5,TRUE)</f>
        <v>100</v>
      </c>
      <c r="G6" s="15">
        <v>0</v>
      </c>
      <c r="H6" s="1">
        <f>VLOOKUP(C6,m_indikator!$A$2:$F$30,6,TRUE)</f>
        <v>4</v>
      </c>
      <c r="I6" s="15">
        <f t="shared" si="0"/>
        <v>0</v>
      </c>
      <c r="J6" t="str">
        <f t="shared" si="1"/>
        <v>update evaluasi set tahun = 1, nilai_maks = 100, nilai_input=0, bobot = 4, nilai_akhir = 0, id_indikator = 'C020250203' where id_evaluasi = '20250017_C020250103';</v>
      </c>
      <c r="P6" s="12"/>
      <c r="Q6" s="12"/>
    </row>
    <row r="7" spans="1:21" hidden="1" x14ac:dyDescent="0.35">
      <c r="A7" t="s">
        <v>104</v>
      </c>
      <c r="B7" t="s">
        <v>91</v>
      </c>
      <c r="C7" t="s">
        <v>51</v>
      </c>
      <c r="D7" t="s">
        <v>52</v>
      </c>
      <c r="E7" s="1">
        <v>1</v>
      </c>
      <c r="F7" s="1">
        <f>VLOOKUP(C7,m_indikator!$A$2:$F$30,5,TRUE)</f>
        <v>100</v>
      </c>
      <c r="G7" s="15">
        <v>100</v>
      </c>
      <c r="H7" s="1">
        <f>VLOOKUP(C7,m_indikator!$A$2:$F$30,6,TRUE)</f>
        <v>4</v>
      </c>
      <c r="I7" s="15">
        <f t="shared" si="0"/>
        <v>4</v>
      </c>
      <c r="J7" t="str">
        <f t="shared" si="1"/>
        <v>update evaluasi set tahun = 1, nilai_maks = 100, nilai_input=100, bobot = 4, nilai_akhir = 4, id_indikator = 'C020250203' where id_evaluasi = '20250018_C020250103';</v>
      </c>
      <c r="P7" s="12"/>
      <c r="Q7" s="12"/>
    </row>
    <row r="8" spans="1:21" hidden="1" x14ac:dyDescent="0.35">
      <c r="A8" t="s">
        <v>105</v>
      </c>
      <c r="B8" t="s">
        <v>91</v>
      </c>
      <c r="C8" t="s">
        <v>51</v>
      </c>
      <c r="D8" t="s">
        <v>52</v>
      </c>
      <c r="E8" s="1">
        <v>1</v>
      </c>
      <c r="F8" s="1">
        <f>VLOOKUP(C8,m_indikator!$A$2:$F$30,5,TRUE)</f>
        <v>100</v>
      </c>
      <c r="G8" s="15">
        <v>0</v>
      </c>
      <c r="H8" s="1">
        <f>VLOOKUP(C8,m_indikator!$A$2:$F$30,6,TRUE)</f>
        <v>4</v>
      </c>
      <c r="I8" s="15">
        <f t="shared" si="0"/>
        <v>0</v>
      </c>
      <c r="J8" t="str">
        <f t="shared" si="1"/>
        <v>update evaluasi set tahun = 1, nilai_maks = 100, nilai_input=0, bobot = 4, nilai_akhir = 0, id_indikator = 'C020250203' where id_evaluasi = '20250021_C020250103';</v>
      </c>
      <c r="P8" s="12"/>
      <c r="Q8" s="12"/>
      <c r="T8" s="13"/>
      <c r="U8" s="13"/>
    </row>
    <row r="9" spans="1:21" hidden="1" x14ac:dyDescent="0.35">
      <c r="A9" t="s">
        <v>106</v>
      </c>
      <c r="B9" t="s">
        <v>91</v>
      </c>
      <c r="C9" t="s">
        <v>51</v>
      </c>
      <c r="D9" t="s">
        <v>52</v>
      </c>
      <c r="E9" s="1">
        <v>1</v>
      </c>
      <c r="F9" s="1">
        <f>VLOOKUP(C9,m_indikator!$A$2:$F$30,5,TRUE)</f>
        <v>100</v>
      </c>
      <c r="G9" s="15">
        <v>0</v>
      </c>
      <c r="H9" s="1">
        <f>VLOOKUP(C9,m_indikator!$A$2:$F$30,6,TRUE)</f>
        <v>4</v>
      </c>
      <c r="I9" s="15">
        <f t="shared" si="0"/>
        <v>0</v>
      </c>
      <c r="J9" t="str">
        <f t="shared" si="1"/>
        <v>update evaluasi set tahun = 1, nilai_maks = 100, nilai_input=0, bobot = 4, nilai_akhir = 0, id_indikator = 'C020250203' where id_evaluasi = '20250023_C020250103';</v>
      </c>
      <c r="P9" s="12"/>
      <c r="Q9" s="12"/>
      <c r="T9" s="13"/>
      <c r="U9" s="13"/>
    </row>
    <row r="10" spans="1:21" hidden="1" x14ac:dyDescent="0.35">
      <c r="A10" t="s">
        <v>107</v>
      </c>
      <c r="B10" t="s">
        <v>91</v>
      </c>
      <c r="C10" t="s">
        <v>51</v>
      </c>
      <c r="D10" t="s">
        <v>52</v>
      </c>
      <c r="E10" s="1">
        <v>1</v>
      </c>
      <c r="F10" s="1">
        <f>VLOOKUP(C10,m_indikator!$A$2:$F$30,5,TRUE)</f>
        <v>100</v>
      </c>
      <c r="G10" s="15">
        <v>100</v>
      </c>
      <c r="H10" s="1">
        <f>VLOOKUP(C10,m_indikator!$A$2:$F$30,6,TRUE)</f>
        <v>4</v>
      </c>
      <c r="I10" s="15">
        <f t="shared" si="0"/>
        <v>4</v>
      </c>
      <c r="J10" t="str">
        <f t="shared" si="1"/>
        <v>update evaluasi set tahun = 1, nilai_maks = 100, nilai_input=100, bobot = 4, nilai_akhir = 4, id_indikator = 'C020250203' where id_evaluasi = '20250025_C020250103';</v>
      </c>
      <c r="P10" s="12"/>
      <c r="Q10" s="12"/>
      <c r="T10" s="13"/>
      <c r="U10" s="13"/>
    </row>
    <row r="11" spans="1:21" hidden="1" x14ac:dyDescent="0.35">
      <c r="A11" t="s">
        <v>108</v>
      </c>
      <c r="B11" t="s">
        <v>91</v>
      </c>
      <c r="C11" t="s">
        <v>51</v>
      </c>
      <c r="D11" t="s">
        <v>52</v>
      </c>
      <c r="E11" s="1">
        <v>1</v>
      </c>
      <c r="F11" s="1">
        <f>VLOOKUP(C11,m_indikator!$A$2:$F$30,5,TRUE)</f>
        <v>100</v>
      </c>
      <c r="G11" s="15">
        <v>0</v>
      </c>
      <c r="H11" s="1">
        <f>VLOOKUP(C11,m_indikator!$A$2:$F$30,6,TRUE)</f>
        <v>4</v>
      </c>
      <c r="I11" s="15">
        <f t="shared" si="0"/>
        <v>0</v>
      </c>
      <c r="J11" t="str">
        <f t="shared" si="1"/>
        <v>update evaluasi set tahun = 1, nilai_maks = 100, nilai_input=0, bobot = 4, nilai_akhir = 0, id_indikator = 'C020250203' where id_evaluasi = '20250029_C020250103';</v>
      </c>
      <c r="P11" s="12"/>
      <c r="Q11" s="12"/>
      <c r="T11" s="13"/>
      <c r="U11" s="13"/>
    </row>
    <row r="12" spans="1:21" hidden="1" x14ac:dyDescent="0.35">
      <c r="A12" t="s">
        <v>109</v>
      </c>
      <c r="B12" t="s">
        <v>91</v>
      </c>
      <c r="C12" t="s">
        <v>51</v>
      </c>
      <c r="D12" t="s">
        <v>52</v>
      </c>
      <c r="E12" s="1">
        <v>1</v>
      </c>
      <c r="F12" s="1">
        <f>VLOOKUP(C12,m_indikator!$A$2:$F$30,5,TRUE)</f>
        <v>100</v>
      </c>
      <c r="G12" s="15">
        <v>0</v>
      </c>
      <c r="H12" s="1">
        <f>VLOOKUP(C12,m_indikator!$A$2:$F$30,6,TRUE)</f>
        <v>4</v>
      </c>
      <c r="I12" s="15">
        <f t="shared" si="0"/>
        <v>0</v>
      </c>
      <c r="J12" t="str">
        <f t="shared" si="1"/>
        <v>update evaluasi set tahun = 1, nilai_maks = 100, nilai_input=0, bobot = 4, nilai_akhir = 0, id_indikator = 'C020250203' where id_evaluasi = '20250030_C020250103';</v>
      </c>
      <c r="P12" s="12"/>
      <c r="Q12" s="12"/>
      <c r="T12" s="13"/>
      <c r="U12" s="13"/>
    </row>
    <row r="13" spans="1:21" hidden="1" x14ac:dyDescent="0.35">
      <c r="A13" t="s">
        <v>110</v>
      </c>
      <c r="B13" t="s">
        <v>91</v>
      </c>
      <c r="C13" t="s">
        <v>51</v>
      </c>
      <c r="D13" t="s">
        <v>52</v>
      </c>
      <c r="E13" s="1">
        <v>1</v>
      </c>
      <c r="F13" s="1">
        <f>VLOOKUP(C13,m_indikator!$A$2:$F$30,5,TRUE)</f>
        <v>100</v>
      </c>
      <c r="G13" s="15">
        <v>0</v>
      </c>
      <c r="H13" s="1">
        <f>VLOOKUP(C13,m_indikator!$A$2:$F$30,6,TRUE)</f>
        <v>4</v>
      </c>
      <c r="I13" s="15">
        <f t="shared" si="0"/>
        <v>0</v>
      </c>
      <c r="J13" t="str">
        <f t="shared" si="1"/>
        <v>update evaluasi set tahun = 1, nilai_maks = 100, nilai_input=0, bobot = 4, nilai_akhir = 0, id_indikator = 'C020250203' where id_evaluasi = '20250032_C020250103';</v>
      </c>
      <c r="P13" s="12"/>
      <c r="Q13" s="12"/>
    </row>
    <row r="14" spans="1:21" hidden="1" x14ac:dyDescent="0.35">
      <c r="A14" t="s">
        <v>111</v>
      </c>
      <c r="B14" t="s">
        <v>91</v>
      </c>
      <c r="C14" t="s">
        <v>51</v>
      </c>
      <c r="D14" t="s">
        <v>52</v>
      </c>
      <c r="E14" s="1">
        <v>1</v>
      </c>
      <c r="F14" s="1">
        <f>VLOOKUP(C14,m_indikator!$A$2:$F$30,5,TRUE)</f>
        <v>100</v>
      </c>
      <c r="G14" s="15">
        <v>0</v>
      </c>
      <c r="H14" s="1">
        <f>VLOOKUP(C14,m_indikator!$A$2:$F$30,6,TRUE)</f>
        <v>4</v>
      </c>
      <c r="I14" s="15">
        <f t="shared" si="0"/>
        <v>0</v>
      </c>
      <c r="J14" t="str">
        <f t="shared" si="1"/>
        <v>update evaluasi set tahun = 1, nilai_maks = 100, nilai_input=0, bobot = 4, nilai_akhir = 0, id_indikator = 'C020250203' where id_evaluasi = '20250034_C020250103';</v>
      </c>
      <c r="P14" s="12"/>
      <c r="Q14" s="12"/>
    </row>
    <row r="15" spans="1:21" hidden="1" x14ac:dyDescent="0.35">
      <c r="A15" t="s">
        <v>112</v>
      </c>
      <c r="B15" t="s">
        <v>91</v>
      </c>
      <c r="C15" t="s">
        <v>51</v>
      </c>
      <c r="D15" t="s">
        <v>52</v>
      </c>
      <c r="E15" s="1">
        <v>1</v>
      </c>
      <c r="F15" s="1">
        <f>VLOOKUP(C15,m_indikator!$A$2:$F$30,5,TRUE)</f>
        <v>100</v>
      </c>
      <c r="G15" s="15">
        <v>0</v>
      </c>
      <c r="H15" s="1">
        <f>VLOOKUP(C15,m_indikator!$A$2:$F$30,6,TRUE)</f>
        <v>4</v>
      </c>
      <c r="I15" s="15">
        <f t="shared" si="0"/>
        <v>0</v>
      </c>
      <c r="J15" t="str">
        <f t="shared" si="1"/>
        <v>update evaluasi set tahun = 1, nilai_maks = 100, nilai_input=0, bobot = 4, nilai_akhir = 0, id_indikator = 'C020250203' where id_evaluasi = '20250037_C020250103';</v>
      </c>
      <c r="P15" s="12"/>
      <c r="Q15" s="12"/>
    </row>
    <row r="16" spans="1:21" hidden="1" x14ac:dyDescent="0.35">
      <c r="A16" t="s">
        <v>90</v>
      </c>
      <c r="B16" t="s">
        <v>91</v>
      </c>
      <c r="C16" t="s">
        <v>51</v>
      </c>
      <c r="D16" t="s">
        <v>52</v>
      </c>
      <c r="E16" s="1">
        <v>1</v>
      </c>
      <c r="F16" s="1">
        <f>VLOOKUP(C16,m_indikator!$A$2:$F$30,5,TRUE)</f>
        <v>100</v>
      </c>
      <c r="G16" s="15">
        <v>0</v>
      </c>
      <c r="H16" s="1">
        <f>VLOOKUP(C16,m_indikator!$A$2:$F$30,6,TRUE)</f>
        <v>4</v>
      </c>
      <c r="I16" s="15">
        <f t="shared" si="0"/>
        <v>0</v>
      </c>
      <c r="J16" t="str">
        <f t="shared" si="1"/>
        <v>update evaluasi set tahun = 1, nilai_maks = 100, nilai_input=0, bobot = 4, nilai_akhir = 0, id_indikator = 'C020250203' where id_evaluasi = '20250041_C020250103';</v>
      </c>
      <c r="P16" s="12"/>
      <c r="Q16" s="12"/>
      <c r="T16" s="13"/>
      <c r="U16" s="13"/>
    </row>
    <row r="17" spans="1:21" hidden="1" x14ac:dyDescent="0.35">
      <c r="A17" t="s">
        <v>92</v>
      </c>
      <c r="B17" t="s">
        <v>91</v>
      </c>
      <c r="C17" t="s">
        <v>51</v>
      </c>
      <c r="D17" t="s">
        <v>52</v>
      </c>
      <c r="E17" s="1">
        <v>1</v>
      </c>
      <c r="F17" s="1">
        <f>VLOOKUP(C17,m_indikator!$A$2:$F$30,5,TRUE)</f>
        <v>100</v>
      </c>
      <c r="G17" s="15">
        <v>100</v>
      </c>
      <c r="H17" s="1">
        <f>VLOOKUP(C17,m_indikator!$A$2:$F$30,6,TRUE)</f>
        <v>4</v>
      </c>
      <c r="I17" s="15">
        <f t="shared" si="0"/>
        <v>4</v>
      </c>
      <c r="J17" t="str">
        <f t="shared" si="1"/>
        <v>update evaluasi set tahun = 1, nilai_maks = 100, nilai_input=100, bobot = 4, nilai_akhir = 4, id_indikator = 'C020250203' where id_evaluasi = '20250044_C020250103';</v>
      </c>
      <c r="P17" s="12"/>
      <c r="Q17" s="12"/>
      <c r="T17" s="13"/>
      <c r="U17" s="13"/>
    </row>
    <row r="18" spans="1:21" hidden="1" x14ac:dyDescent="0.35">
      <c r="A18" t="s">
        <v>93</v>
      </c>
      <c r="B18" t="s">
        <v>91</v>
      </c>
      <c r="C18" t="s">
        <v>51</v>
      </c>
      <c r="D18" t="s">
        <v>52</v>
      </c>
      <c r="E18" s="1">
        <v>1</v>
      </c>
      <c r="F18" s="1">
        <f>VLOOKUP(C18,m_indikator!$A$2:$F$30,5,TRUE)</f>
        <v>100</v>
      </c>
      <c r="G18" s="15">
        <v>0</v>
      </c>
      <c r="H18" s="1">
        <f>VLOOKUP(C18,m_indikator!$A$2:$F$30,6,TRUE)</f>
        <v>4</v>
      </c>
      <c r="I18" s="15">
        <f t="shared" si="0"/>
        <v>0</v>
      </c>
      <c r="J18" t="str">
        <f t="shared" si="1"/>
        <v>update evaluasi set tahun = 1, nilai_maks = 100, nilai_input=0, bobot = 4, nilai_akhir = 0, id_indikator = 'C020250203' where id_evaluasi = '20250049_C020250103';</v>
      </c>
      <c r="P18" s="12"/>
      <c r="Q18" s="12"/>
      <c r="T18" s="13"/>
      <c r="U18" s="13"/>
    </row>
    <row r="19" spans="1:21" hidden="1" x14ac:dyDescent="0.35">
      <c r="A19" t="s">
        <v>94</v>
      </c>
      <c r="B19" t="s">
        <v>91</v>
      </c>
      <c r="C19" t="s">
        <v>51</v>
      </c>
      <c r="D19" t="s">
        <v>52</v>
      </c>
      <c r="E19" s="1">
        <v>1</v>
      </c>
      <c r="F19" s="1">
        <f>VLOOKUP(C19,m_indikator!$A$2:$F$30,5,TRUE)</f>
        <v>100</v>
      </c>
      <c r="G19" s="15">
        <v>0</v>
      </c>
      <c r="H19" s="1">
        <f>VLOOKUP(C19,m_indikator!$A$2:$F$30,6,TRUE)</f>
        <v>4</v>
      </c>
      <c r="I19" s="15">
        <f t="shared" si="0"/>
        <v>0</v>
      </c>
      <c r="J19" t="str">
        <f t="shared" si="1"/>
        <v>update evaluasi set tahun = 1, nilai_maks = 100, nilai_input=0, bobot = 4, nilai_akhir = 0, id_indikator = 'C020250203' where id_evaluasi = '20250053_C020250103';</v>
      </c>
      <c r="P19" s="12"/>
      <c r="Q19" s="12"/>
      <c r="T19" s="13"/>
      <c r="U19" s="13"/>
    </row>
    <row r="20" spans="1:21" hidden="1" x14ac:dyDescent="0.35">
      <c r="A20" t="s">
        <v>95</v>
      </c>
      <c r="B20" t="s">
        <v>91</v>
      </c>
      <c r="C20" t="s">
        <v>51</v>
      </c>
      <c r="D20" t="s">
        <v>52</v>
      </c>
      <c r="E20" s="1">
        <v>1</v>
      </c>
      <c r="F20" s="1">
        <f>VLOOKUP(C20,m_indikator!$A$2:$F$30,5,TRUE)</f>
        <v>100</v>
      </c>
      <c r="G20" s="15">
        <v>0</v>
      </c>
      <c r="H20" s="1">
        <f>VLOOKUP(C20,m_indikator!$A$2:$F$30,6,TRUE)</f>
        <v>4</v>
      </c>
      <c r="I20" s="15">
        <f t="shared" si="0"/>
        <v>0</v>
      </c>
      <c r="J20" t="str">
        <f t="shared" si="1"/>
        <v>update evaluasi set tahun = 1, nilai_maks = 100, nilai_input=0, bobot = 4, nilai_akhir = 0, id_indikator = 'C020250203' where id_evaluasi = '20250103_C020250103';</v>
      </c>
      <c r="P20" s="12"/>
      <c r="Q20" s="12"/>
      <c r="T20" s="13"/>
      <c r="U20" s="13"/>
    </row>
    <row r="21" spans="1:21" hidden="1" x14ac:dyDescent="0.35">
      <c r="A21" t="s">
        <v>96</v>
      </c>
      <c r="B21" t="s">
        <v>91</v>
      </c>
      <c r="C21" t="s">
        <v>51</v>
      </c>
      <c r="D21" t="s">
        <v>52</v>
      </c>
      <c r="E21" s="1">
        <v>1</v>
      </c>
      <c r="F21" s="1">
        <f>VLOOKUP(C21,m_indikator!$A$2:$F$30,5,TRUE)</f>
        <v>100</v>
      </c>
      <c r="G21" s="15">
        <v>0</v>
      </c>
      <c r="H21" s="1">
        <f>VLOOKUP(C21,m_indikator!$A$2:$F$30,6,TRUE)</f>
        <v>4</v>
      </c>
      <c r="I21" s="15">
        <f t="shared" si="0"/>
        <v>0</v>
      </c>
      <c r="J21" t="str">
        <f t="shared" si="1"/>
        <v>update evaluasi set tahun = 1, nilai_maks = 100, nilai_input=0, bobot = 4, nilai_akhir = 0, id_indikator = 'C020250203' where id_evaluasi = '20250104_C020250103';</v>
      </c>
      <c r="P21" s="12"/>
      <c r="Q21" s="12"/>
      <c r="U21" s="13"/>
    </row>
    <row r="22" spans="1:21" hidden="1" x14ac:dyDescent="0.35">
      <c r="A22" t="s">
        <v>97</v>
      </c>
      <c r="B22" t="s">
        <v>91</v>
      </c>
      <c r="C22" t="s">
        <v>51</v>
      </c>
      <c r="D22" t="s">
        <v>52</v>
      </c>
      <c r="E22" s="1">
        <v>1</v>
      </c>
      <c r="F22" s="1">
        <f>VLOOKUP(C22,m_indikator!$A$2:$F$30,5,TRUE)</f>
        <v>100</v>
      </c>
      <c r="G22" s="15">
        <v>0</v>
      </c>
      <c r="H22" s="1">
        <f>VLOOKUP(C22,m_indikator!$A$2:$F$30,6,TRUE)</f>
        <v>4</v>
      </c>
      <c r="I22" s="15">
        <f t="shared" si="0"/>
        <v>0</v>
      </c>
      <c r="J22" t="str">
        <f t="shared" si="1"/>
        <v>update evaluasi set tahun = 1, nilai_maks = 100, nilai_input=0, bobot = 4, nilai_akhir = 0, id_indikator = 'C020250203' where id_evaluasi = '20250107_C020250103';</v>
      </c>
      <c r="P22" s="12"/>
      <c r="Q22" s="12"/>
    </row>
    <row r="23" spans="1:21" hidden="1" x14ac:dyDescent="0.35">
      <c r="A23" t="s">
        <v>98</v>
      </c>
      <c r="B23" t="s">
        <v>91</v>
      </c>
      <c r="C23" t="s">
        <v>51</v>
      </c>
      <c r="D23" t="s">
        <v>52</v>
      </c>
      <c r="E23" s="1">
        <v>1</v>
      </c>
      <c r="F23" s="1">
        <f>VLOOKUP(C23,m_indikator!$A$2:$F$30,5,TRUE)</f>
        <v>100</v>
      </c>
      <c r="G23" s="15">
        <v>0</v>
      </c>
      <c r="H23" s="1">
        <f>VLOOKUP(C23,m_indikator!$A$2:$F$30,6,TRUE)</f>
        <v>4</v>
      </c>
      <c r="I23" s="15">
        <f t="shared" si="0"/>
        <v>0</v>
      </c>
      <c r="J23" t="str">
        <f t="shared" si="1"/>
        <v>update evaluasi set tahun = 1, nilai_maks = 100, nilai_input=0, bobot = 4, nilai_akhir = 0, id_indikator = 'C020250203' where id_evaluasi = '20250108_C020250103';</v>
      </c>
      <c r="P23" s="12"/>
      <c r="Q23" s="12"/>
      <c r="T23" s="13"/>
      <c r="U23" s="13"/>
    </row>
    <row r="24" spans="1:21" hidden="1" x14ac:dyDescent="0.35">
      <c r="A24" t="s">
        <v>158</v>
      </c>
      <c r="B24" t="s">
        <v>114</v>
      </c>
      <c r="C24" t="s">
        <v>65</v>
      </c>
      <c r="D24" t="s">
        <v>23</v>
      </c>
      <c r="E24" s="1">
        <v>1</v>
      </c>
      <c r="F24" s="1">
        <f>VLOOKUP(C24,m_indikator!$A$2:$F$30,5,TRUE)</f>
        <v>100</v>
      </c>
      <c r="G24" s="15">
        <v>88.69</v>
      </c>
      <c r="H24" s="1">
        <f>VLOOKUP(C24,m_indikator!$A$2:$F$30,6,TRUE)</f>
        <v>2</v>
      </c>
      <c r="I24" s="15">
        <f t="shared" si="0"/>
        <v>1.7738</v>
      </c>
      <c r="J24" t="str">
        <f t="shared" si="1"/>
        <v>update evaluasi set tahun = 1, nilai_maks = 100, nilai_input=88.69, bobot = 2, nilai_akhir = 1.7738, id_indikator = 'C020250215' where id_evaluasi = '20250001_C020250302';</v>
      </c>
      <c r="K24" s="14"/>
      <c r="P24" s="12"/>
      <c r="Q24" s="12"/>
    </row>
    <row r="25" spans="1:21" hidden="1" x14ac:dyDescent="0.35">
      <c r="A25" t="s">
        <v>159</v>
      </c>
      <c r="B25" t="s">
        <v>114</v>
      </c>
      <c r="C25" t="s">
        <v>65</v>
      </c>
      <c r="D25" t="s">
        <v>23</v>
      </c>
      <c r="E25" s="1">
        <v>1</v>
      </c>
      <c r="F25" s="1">
        <f>VLOOKUP(C25,m_indikator!$A$2:$F$30,5,TRUE)</f>
        <v>100</v>
      </c>
      <c r="G25" s="15">
        <v>67.22</v>
      </c>
      <c r="H25" s="1">
        <f>VLOOKUP(C25,m_indikator!$A$2:$F$30,6,TRUE)</f>
        <v>2</v>
      </c>
      <c r="I25" s="15">
        <f t="shared" si="0"/>
        <v>1.3444</v>
      </c>
      <c r="J25" t="str">
        <f t="shared" si="1"/>
        <v>update evaluasi set tahun = 1, nilai_maks = 100, nilai_input=67.22, bobot = 2, nilai_akhir = 1.3444, id_indikator = 'C020250215' where id_evaluasi = '20250002_C020250302';</v>
      </c>
      <c r="P25" s="12"/>
      <c r="Q25" s="12"/>
    </row>
    <row r="26" spans="1:21" hidden="1" x14ac:dyDescent="0.35">
      <c r="A26" t="s">
        <v>160</v>
      </c>
      <c r="B26" t="s">
        <v>114</v>
      </c>
      <c r="C26" t="s">
        <v>65</v>
      </c>
      <c r="D26" t="s">
        <v>23</v>
      </c>
      <c r="E26" s="1">
        <v>1</v>
      </c>
      <c r="F26" s="1">
        <f>VLOOKUP(C26,m_indikator!$A$2:$F$30,5,TRUE)</f>
        <v>100</v>
      </c>
      <c r="G26" s="15">
        <v>0</v>
      </c>
      <c r="H26" s="1">
        <f>VLOOKUP(C26,m_indikator!$A$2:$F$30,6,TRUE)</f>
        <v>2</v>
      </c>
      <c r="I26" s="15">
        <f t="shared" si="0"/>
        <v>0</v>
      </c>
      <c r="J26" t="str">
        <f t="shared" si="1"/>
        <v>update evaluasi set tahun = 1, nilai_maks = 100, nilai_input=0, bobot = 2, nilai_akhir = 0, id_indikator = 'C020250215' where id_evaluasi = '20250003_C020250302';</v>
      </c>
      <c r="K26" s="14"/>
      <c r="P26" s="12"/>
      <c r="Q26" s="12"/>
    </row>
    <row r="27" spans="1:21" hidden="1" x14ac:dyDescent="0.35">
      <c r="A27" t="s">
        <v>161</v>
      </c>
      <c r="B27" t="s">
        <v>114</v>
      </c>
      <c r="C27" t="s">
        <v>65</v>
      </c>
      <c r="D27" t="s">
        <v>23</v>
      </c>
      <c r="E27" s="1">
        <v>1</v>
      </c>
      <c r="F27" s="1">
        <f>VLOOKUP(C27,m_indikator!$A$2:$F$30,5,TRUE)</f>
        <v>100</v>
      </c>
      <c r="G27" s="15">
        <v>91.88</v>
      </c>
      <c r="H27" s="1">
        <f>VLOOKUP(C27,m_indikator!$A$2:$F$30,6,TRUE)</f>
        <v>2</v>
      </c>
      <c r="I27" s="15">
        <f t="shared" si="0"/>
        <v>1.8375999999999999</v>
      </c>
      <c r="J27" t="str">
        <f t="shared" si="1"/>
        <v>update evaluasi set tahun = 1, nilai_maks = 100, nilai_input=91.88, bobot = 2, nilai_akhir = 1.8376, id_indikator = 'C020250215' where id_evaluasi = '20250004_C020250302';</v>
      </c>
      <c r="P27" s="12"/>
      <c r="Q27" s="12"/>
    </row>
    <row r="28" spans="1:21" hidden="1" x14ac:dyDescent="0.35">
      <c r="A28" t="s">
        <v>162</v>
      </c>
      <c r="B28" t="s">
        <v>114</v>
      </c>
      <c r="C28" t="s">
        <v>65</v>
      </c>
      <c r="D28" t="s">
        <v>23</v>
      </c>
      <c r="E28" s="1">
        <v>1</v>
      </c>
      <c r="F28" s="1">
        <f>VLOOKUP(C28,m_indikator!$A$2:$F$30,5,TRUE)</f>
        <v>100</v>
      </c>
      <c r="G28" s="15">
        <v>68.48</v>
      </c>
      <c r="H28" s="1">
        <f>VLOOKUP(C28,m_indikator!$A$2:$F$30,6,TRUE)</f>
        <v>2</v>
      </c>
      <c r="I28" s="15">
        <f t="shared" si="0"/>
        <v>1.3696000000000002</v>
      </c>
      <c r="J28" t="str">
        <f t="shared" si="1"/>
        <v>update evaluasi set tahun = 1, nilai_maks = 100, nilai_input=68.48, bobot = 2, nilai_akhir = 1.3696, id_indikator = 'C020250215' where id_evaluasi = '20250005_C020250302';</v>
      </c>
      <c r="P28" s="12"/>
      <c r="Q28" s="12"/>
    </row>
    <row r="29" spans="1:21" hidden="1" x14ac:dyDescent="0.35">
      <c r="A29" t="s">
        <v>163</v>
      </c>
      <c r="B29" t="s">
        <v>114</v>
      </c>
      <c r="C29" t="s">
        <v>65</v>
      </c>
      <c r="D29" t="s">
        <v>23</v>
      </c>
      <c r="E29" s="1">
        <v>1</v>
      </c>
      <c r="F29" s="1">
        <f>VLOOKUP(C29,m_indikator!$A$2:$F$30,5,TRUE)</f>
        <v>100</v>
      </c>
      <c r="G29" s="15">
        <v>0</v>
      </c>
      <c r="H29" s="1">
        <f>VLOOKUP(C29,m_indikator!$A$2:$F$30,6,TRUE)</f>
        <v>2</v>
      </c>
      <c r="I29" s="15">
        <f t="shared" si="0"/>
        <v>0</v>
      </c>
      <c r="J29" t="str">
        <f t="shared" si="1"/>
        <v>update evaluasi set tahun = 1, nilai_maks = 100, nilai_input=0, bobot = 2, nilai_akhir = 0, id_indikator = 'C020250215' where id_evaluasi = '20250006_C020250302';</v>
      </c>
      <c r="P29" s="12"/>
      <c r="Q29" s="12"/>
    </row>
    <row r="30" spans="1:21" hidden="1" x14ac:dyDescent="0.35">
      <c r="A30" t="s">
        <v>164</v>
      </c>
      <c r="B30" t="s">
        <v>114</v>
      </c>
      <c r="C30" t="s">
        <v>65</v>
      </c>
      <c r="D30" t="s">
        <v>23</v>
      </c>
      <c r="E30" s="1">
        <v>1</v>
      </c>
      <c r="F30" s="1">
        <f>VLOOKUP(C30,m_indikator!$A$2:$F$30,5,TRUE)</f>
        <v>100</v>
      </c>
      <c r="G30" s="15">
        <v>66.22</v>
      </c>
      <c r="H30" s="1">
        <f>VLOOKUP(C30,m_indikator!$A$2:$F$30,6,TRUE)</f>
        <v>2</v>
      </c>
      <c r="I30" s="15">
        <f t="shared" si="0"/>
        <v>1.3244</v>
      </c>
      <c r="J30" t="str">
        <f t="shared" si="1"/>
        <v>update evaluasi set tahun = 1, nilai_maks = 100, nilai_input=66.22, bobot = 2, nilai_akhir = 1.3244, id_indikator = 'C020250215' where id_evaluasi = '20250007_C020250302';</v>
      </c>
      <c r="P30" s="12"/>
      <c r="Q30" s="12"/>
    </row>
    <row r="31" spans="1:21" hidden="1" x14ac:dyDescent="0.35">
      <c r="A31" t="s">
        <v>165</v>
      </c>
      <c r="B31" t="s">
        <v>114</v>
      </c>
      <c r="C31" t="s">
        <v>65</v>
      </c>
      <c r="D31" t="s">
        <v>23</v>
      </c>
      <c r="E31" s="1">
        <v>1</v>
      </c>
      <c r="F31" s="1">
        <f>VLOOKUP(C31,m_indikator!$A$2:$F$30,5,TRUE)</f>
        <v>100</v>
      </c>
      <c r="G31" s="15">
        <v>45.55</v>
      </c>
      <c r="H31" s="1">
        <f>VLOOKUP(C31,m_indikator!$A$2:$F$30,6,TRUE)</f>
        <v>2</v>
      </c>
      <c r="I31" s="15">
        <f t="shared" si="0"/>
        <v>0.91099999999999992</v>
      </c>
      <c r="J31" t="str">
        <f t="shared" si="1"/>
        <v>update evaluasi set tahun = 1, nilai_maks = 100, nilai_input=45.55, bobot = 2, nilai_akhir = 0.911, id_indikator = 'C020250215' where id_evaluasi = '20250008_C020250302';</v>
      </c>
      <c r="K31" s="14"/>
      <c r="P31" s="12"/>
      <c r="Q31" s="12"/>
    </row>
    <row r="32" spans="1:21" hidden="1" x14ac:dyDescent="0.35">
      <c r="A32" t="s">
        <v>166</v>
      </c>
      <c r="B32" t="s">
        <v>114</v>
      </c>
      <c r="C32" t="s">
        <v>65</v>
      </c>
      <c r="D32" t="s">
        <v>23</v>
      </c>
      <c r="E32" s="1">
        <v>1</v>
      </c>
      <c r="F32" s="1">
        <f>VLOOKUP(C32,m_indikator!$A$2:$F$30,5,TRUE)</f>
        <v>100</v>
      </c>
      <c r="G32" s="15">
        <v>57.08</v>
      </c>
      <c r="H32" s="1">
        <f>VLOOKUP(C32,m_indikator!$A$2:$F$30,6,TRUE)</f>
        <v>2</v>
      </c>
      <c r="I32" s="15">
        <f t="shared" si="0"/>
        <v>1.1415999999999999</v>
      </c>
      <c r="J32" t="str">
        <f t="shared" si="1"/>
        <v>update evaluasi set tahun = 1, nilai_maks = 100, nilai_input=57.08, bobot = 2, nilai_akhir = 1.1416, id_indikator = 'C020250215' where id_evaluasi = '20250009_C020250302';</v>
      </c>
      <c r="P32" s="12"/>
      <c r="Q32" s="12"/>
    </row>
    <row r="33" spans="1:17" hidden="1" x14ac:dyDescent="0.35">
      <c r="A33" t="s">
        <v>167</v>
      </c>
      <c r="B33" t="s">
        <v>114</v>
      </c>
      <c r="C33" t="s">
        <v>65</v>
      </c>
      <c r="D33" t="s">
        <v>23</v>
      </c>
      <c r="E33" s="1">
        <v>1</v>
      </c>
      <c r="F33" s="1">
        <f>VLOOKUP(C33,m_indikator!$A$2:$F$30,5,TRUE)</f>
        <v>100</v>
      </c>
      <c r="G33" s="15">
        <v>59.29</v>
      </c>
      <c r="H33" s="1">
        <f>VLOOKUP(C33,m_indikator!$A$2:$F$30,6,TRUE)</f>
        <v>2</v>
      </c>
      <c r="I33" s="15">
        <f t="shared" si="0"/>
        <v>1.1858</v>
      </c>
      <c r="J33" t="str">
        <f t="shared" si="1"/>
        <v>update evaluasi set tahun = 1, nilai_maks = 100, nilai_input=59.29, bobot = 2, nilai_akhir = 1.1858, id_indikator = 'C020250215' where id_evaluasi = '20250010_C020250302';</v>
      </c>
      <c r="K33" s="14"/>
      <c r="P33" s="12"/>
      <c r="Q33" s="12"/>
    </row>
    <row r="34" spans="1:17" hidden="1" x14ac:dyDescent="0.35">
      <c r="A34" t="s">
        <v>168</v>
      </c>
      <c r="B34" t="s">
        <v>114</v>
      </c>
      <c r="C34" t="s">
        <v>65</v>
      </c>
      <c r="D34" t="s">
        <v>23</v>
      </c>
      <c r="E34" s="1">
        <v>1</v>
      </c>
      <c r="F34" s="1">
        <f>VLOOKUP(C34,m_indikator!$A$2:$F$30,5,TRUE)</f>
        <v>100</v>
      </c>
      <c r="G34" s="15">
        <v>0</v>
      </c>
      <c r="H34" s="1">
        <f>VLOOKUP(C34,m_indikator!$A$2:$F$30,6,TRUE)</f>
        <v>2</v>
      </c>
      <c r="I34" s="15">
        <f t="shared" si="0"/>
        <v>0</v>
      </c>
      <c r="J34" t="str">
        <f t="shared" si="1"/>
        <v>update evaluasi set tahun = 1, nilai_maks = 100, nilai_input=0, bobot = 2, nilai_akhir = 0, id_indikator = 'C020250215' where id_evaluasi = '20250011_C020250302';</v>
      </c>
      <c r="K34" s="14"/>
      <c r="P34" s="12"/>
      <c r="Q34" s="12"/>
    </row>
    <row r="35" spans="1:17" hidden="1" x14ac:dyDescent="0.35">
      <c r="A35" t="s">
        <v>169</v>
      </c>
      <c r="B35" t="s">
        <v>114</v>
      </c>
      <c r="C35" t="s">
        <v>65</v>
      </c>
      <c r="D35" t="s">
        <v>23</v>
      </c>
      <c r="E35" s="1">
        <v>1</v>
      </c>
      <c r="F35" s="1">
        <f>VLOOKUP(C35,m_indikator!$A$2:$F$30,5,TRUE)</f>
        <v>100</v>
      </c>
      <c r="G35" s="15">
        <v>70.58</v>
      </c>
      <c r="H35" s="1">
        <f>VLOOKUP(C35,m_indikator!$A$2:$F$30,6,TRUE)</f>
        <v>2</v>
      </c>
      <c r="I35" s="15">
        <f t="shared" si="0"/>
        <v>1.4116</v>
      </c>
      <c r="J35" t="str">
        <f t="shared" si="1"/>
        <v>update evaluasi set tahun = 1, nilai_maks = 100, nilai_input=70.58, bobot = 2, nilai_akhir = 1.4116, id_indikator = 'C020250215' where id_evaluasi = '20250012_C020250302';</v>
      </c>
      <c r="K35" s="14"/>
      <c r="P35" s="12"/>
      <c r="Q35" s="12"/>
    </row>
    <row r="36" spans="1:17" hidden="1" x14ac:dyDescent="0.35">
      <c r="A36" t="s">
        <v>170</v>
      </c>
      <c r="B36" t="s">
        <v>114</v>
      </c>
      <c r="C36" t="s">
        <v>65</v>
      </c>
      <c r="D36" t="s">
        <v>23</v>
      </c>
      <c r="E36" s="1">
        <v>1</v>
      </c>
      <c r="F36" s="1">
        <f>VLOOKUP(C36,m_indikator!$A$2:$F$30,5,TRUE)</f>
        <v>100</v>
      </c>
      <c r="G36" s="15">
        <v>61.59</v>
      </c>
      <c r="H36" s="1">
        <f>VLOOKUP(C36,m_indikator!$A$2:$F$30,6,TRUE)</f>
        <v>2</v>
      </c>
      <c r="I36" s="15">
        <f t="shared" si="0"/>
        <v>1.2318</v>
      </c>
      <c r="J36" t="str">
        <f t="shared" si="1"/>
        <v>update evaluasi set tahun = 1, nilai_maks = 100, nilai_input=61.59, bobot = 2, nilai_akhir = 1.2318, id_indikator = 'C020250215' where id_evaluasi = '20250013_C020250302';</v>
      </c>
      <c r="P36" s="12"/>
      <c r="Q36" s="12"/>
    </row>
    <row r="37" spans="1:17" hidden="1" x14ac:dyDescent="0.35">
      <c r="A37" t="s">
        <v>171</v>
      </c>
      <c r="B37" t="s">
        <v>114</v>
      </c>
      <c r="C37" t="s">
        <v>65</v>
      </c>
      <c r="D37" t="s">
        <v>23</v>
      </c>
      <c r="E37" s="1">
        <v>1</v>
      </c>
      <c r="F37" s="1">
        <f>VLOOKUP(C37,m_indikator!$A$2:$F$30,5,TRUE)</f>
        <v>100</v>
      </c>
      <c r="G37" s="15">
        <v>51.74</v>
      </c>
      <c r="H37" s="1">
        <f>VLOOKUP(C37,m_indikator!$A$2:$F$30,6,TRUE)</f>
        <v>2</v>
      </c>
      <c r="I37" s="15">
        <f t="shared" si="0"/>
        <v>1.0347999999999999</v>
      </c>
      <c r="J37" t="str">
        <f t="shared" si="1"/>
        <v>update evaluasi set tahun = 1, nilai_maks = 100, nilai_input=51.74, bobot = 2, nilai_akhir = 1.0348, id_indikator = 'C020250215' where id_evaluasi = '20250014_C020250302';</v>
      </c>
      <c r="K37" s="14"/>
      <c r="P37" s="12"/>
      <c r="Q37" s="12"/>
    </row>
    <row r="38" spans="1:17" hidden="1" x14ac:dyDescent="0.35">
      <c r="A38" t="s">
        <v>172</v>
      </c>
      <c r="B38" t="s">
        <v>114</v>
      </c>
      <c r="C38" t="s">
        <v>65</v>
      </c>
      <c r="D38" t="s">
        <v>23</v>
      </c>
      <c r="E38" s="1">
        <v>1</v>
      </c>
      <c r="F38" s="1">
        <f>VLOOKUP(C38,m_indikator!$A$2:$F$30,5,TRUE)</f>
        <v>100</v>
      </c>
      <c r="G38" s="15">
        <v>0</v>
      </c>
      <c r="H38" s="1">
        <f>VLOOKUP(C38,m_indikator!$A$2:$F$30,6,TRUE)</f>
        <v>2</v>
      </c>
      <c r="I38" s="15">
        <f t="shared" si="0"/>
        <v>0</v>
      </c>
      <c r="J38" t="str">
        <f t="shared" si="1"/>
        <v>update evaluasi set tahun = 1, nilai_maks = 100, nilai_input=0, bobot = 2, nilai_akhir = 0, id_indikator = 'C020250215' where id_evaluasi = '20250015_C020250302';</v>
      </c>
      <c r="K38" s="14"/>
      <c r="P38" s="12"/>
      <c r="Q38" s="12"/>
    </row>
    <row r="39" spans="1:17" hidden="1" x14ac:dyDescent="0.35">
      <c r="A39" t="s">
        <v>173</v>
      </c>
      <c r="B39" t="s">
        <v>114</v>
      </c>
      <c r="C39" t="s">
        <v>65</v>
      </c>
      <c r="D39" t="s">
        <v>23</v>
      </c>
      <c r="E39" s="1">
        <v>1</v>
      </c>
      <c r="F39" s="1">
        <f>VLOOKUP(C39,m_indikator!$A$2:$F$30,5,TRUE)</f>
        <v>100</v>
      </c>
      <c r="G39" s="15">
        <v>58.23</v>
      </c>
      <c r="H39" s="1">
        <f>VLOOKUP(C39,m_indikator!$A$2:$F$30,6,TRUE)</f>
        <v>2</v>
      </c>
      <c r="I39" s="15">
        <f t="shared" si="0"/>
        <v>1.1645999999999999</v>
      </c>
      <c r="J39" t="str">
        <f t="shared" si="1"/>
        <v>update evaluasi set tahun = 1, nilai_maks = 100, nilai_input=58.23, bobot = 2, nilai_akhir = 1.1646, id_indikator = 'C020250215' where id_evaluasi = '20250016_C020250302';</v>
      </c>
      <c r="P39" s="12"/>
      <c r="Q39" s="12"/>
    </row>
    <row r="40" spans="1:17" hidden="1" x14ac:dyDescent="0.35">
      <c r="A40" t="s">
        <v>174</v>
      </c>
      <c r="B40" t="s">
        <v>114</v>
      </c>
      <c r="C40" t="s">
        <v>65</v>
      </c>
      <c r="D40" t="s">
        <v>23</v>
      </c>
      <c r="E40" s="1">
        <v>1</v>
      </c>
      <c r="F40" s="1">
        <f>VLOOKUP(C40,m_indikator!$A$2:$F$30,5,TRUE)</f>
        <v>100</v>
      </c>
      <c r="G40" s="15">
        <v>90.51</v>
      </c>
      <c r="H40" s="1">
        <f>VLOOKUP(C40,m_indikator!$A$2:$F$30,6,TRUE)</f>
        <v>2</v>
      </c>
      <c r="I40" s="15">
        <f t="shared" si="0"/>
        <v>1.8102</v>
      </c>
      <c r="J40" t="str">
        <f t="shared" si="1"/>
        <v>update evaluasi set tahun = 1, nilai_maks = 100, nilai_input=90.51, bobot = 2, nilai_akhir = 1.8102, id_indikator = 'C020250215' where id_evaluasi = '20250017_C020250302';</v>
      </c>
      <c r="P40" s="12"/>
      <c r="Q40" s="12"/>
    </row>
    <row r="41" spans="1:17" hidden="1" x14ac:dyDescent="0.35">
      <c r="A41" t="s">
        <v>175</v>
      </c>
      <c r="B41" t="s">
        <v>114</v>
      </c>
      <c r="C41" t="s">
        <v>65</v>
      </c>
      <c r="D41" t="s">
        <v>23</v>
      </c>
      <c r="E41" s="1">
        <v>1</v>
      </c>
      <c r="F41" s="1">
        <f>VLOOKUP(C41,m_indikator!$A$2:$F$30,5,TRUE)</f>
        <v>100</v>
      </c>
      <c r="G41" s="15">
        <v>92.09</v>
      </c>
      <c r="H41" s="1">
        <f>VLOOKUP(C41,m_indikator!$A$2:$F$30,6,TRUE)</f>
        <v>2</v>
      </c>
      <c r="I41" s="15">
        <f t="shared" si="0"/>
        <v>1.8418000000000001</v>
      </c>
      <c r="J41" t="str">
        <f t="shared" si="1"/>
        <v>update evaluasi set tahun = 1, nilai_maks = 100, nilai_input=92.09, bobot = 2, nilai_akhir = 1.8418, id_indikator = 'C020250215' where id_evaluasi = '20250018_C020250302';</v>
      </c>
      <c r="K41" s="14"/>
      <c r="P41" s="12"/>
      <c r="Q41" s="12"/>
    </row>
    <row r="42" spans="1:17" hidden="1" x14ac:dyDescent="0.35">
      <c r="A42" t="s">
        <v>176</v>
      </c>
      <c r="B42" t="s">
        <v>114</v>
      </c>
      <c r="C42" t="s">
        <v>65</v>
      </c>
      <c r="D42" t="s">
        <v>23</v>
      </c>
      <c r="E42" s="1">
        <v>1</v>
      </c>
      <c r="F42" s="1">
        <f>VLOOKUP(C42,m_indikator!$A$2:$F$30,5,TRUE)</f>
        <v>100</v>
      </c>
      <c r="G42" s="15">
        <v>67.540000000000006</v>
      </c>
      <c r="H42" s="1">
        <f>VLOOKUP(C42,m_indikator!$A$2:$F$30,6,TRUE)</f>
        <v>2</v>
      </c>
      <c r="I42" s="15">
        <f t="shared" si="0"/>
        <v>1.3508000000000002</v>
      </c>
      <c r="J42" t="str">
        <f t="shared" si="1"/>
        <v>update evaluasi set tahun = 1, nilai_maks = 100, nilai_input=67.54, bobot = 2, nilai_akhir = 1.3508, id_indikator = 'C020250215' where id_evaluasi = '20250019_C020250302';</v>
      </c>
      <c r="P42" s="12"/>
      <c r="Q42" s="12"/>
    </row>
    <row r="43" spans="1:17" hidden="1" x14ac:dyDescent="0.35">
      <c r="A43" t="s">
        <v>177</v>
      </c>
      <c r="B43" t="s">
        <v>114</v>
      </c>
      <c r="C43" t="s">
        <v>65</v>
      </c>
      <c r="D43" t="s">
        <v>23</v>
      </c>
      <c r="E43" s="1">
        <v>1</v>
      </c>
      <c r="F43" s="1">
        <f>VLOOKUP(C43,m_indikator!$A$2:$F$30,5,TRUE)</f>
        <v>100</v>
      </c>
      <c r="G43" s="15">
        <v>69.430000000000007</v>
      </c>
      <c r="H43" s="1">
        <f>VLOOKUP(C43,m_indikator!$A$2:$F$30,6,TRUE)</f>
        <v>2</v>
      </c>
      <c r="I43" s="15">
        <f t="shared" si="0"/>
        <v>1.3886000000000001</v>
      </c>
      <c r="J43" t="str">
        <f t="shared" si="1"/>
        <v>update evaluasi set tahun = 1, nilai_maks = 100, nilai_input=69.43, bobot = 2, nilai_akhir = 1.3886, id_indikator = 'C020250215' where id_evaluasi = '20250020_C020250302';</v>
      </c>
      <c r="K43" s="14"/>
      <c r="P43" s="12"/>
      <c r="Q43" s="12"/>
    </row>
    <row r="44" spans="1:17" hidden="1" x14ac:dyDescent="0.35">
      <c r="A44" t="s">
        <v>113</v>
      </c>
      <c r="B44" t="s">
        <v>114</v>
      </c>
      <c r="C44" t="s">
        <v>65</v>
      </c>
      <c r="D44" t="s">
        <v>23</v>
      </c>
      <c r="E44" s="1">
        <v>1</v>
      </c>
      <c r="F44" s="1">
        <f>VLOOKUP(C44,m_indikator!$A$2:$F$30,5,TRUE)</f>
        <v>100</v>
      </c>
      <c r="G44" s="15">
        <v>91.54</v>
      </c>
      <c r="H44" s="1">
        <f>VLOOKUP(C44,m_indikator!$A$2:$F$30,6,TRUE)</f>
        <v>2</v>
      </c>
      <c r="I44" s="15">
        <f t="shared" si="0"/>
        <v>1.8308000000000002</v>
      </c>
      <c r="J44" t="str">
        <f t="shared" si="1"/>
        <v>update evaluasi set tahun = 1, nilai_maks = 100, nilai_input=91.54, bobot = 2, nilai_akhir = 1.8308, id_indikator = 'C020250215' where id_evaluasi = '20250021_C020250302';</v>
      </c>
      <c r="K44" s="14"/>
      <c r="P44" s="12"/>
      <c r="Q44" s="12"/>
    </row>
    <row r="45" spans="1:17" hidden="1" x14ac:dyDescent="0.35">
      <c r="A45" t="s">
        <v>115</v>
      </c>
      <c r="B45" t="s">
        <v>114</v>
      </c>
      <c r="C45" t="s">
        <v>65</v>
      </c>
      <c r="D45" t="s">
        <v>23</v>
      </c>
      <c r="E45" s="1">
        <v>1</v>
      </c>
      <c r="F45" s="1">
        <f>VLOOKUP(C45,m_indikator!$A$2:$F$30,5,TRUE)</f>
        <v>100</v>
      </c>
      <c r="G45" s="15">
        <v>58.82</v>
      </c>
      <c r="H45" s="1">
        <f>VLOOKUP(C45,m_indikator!$A$2:$F$30,6,TRUE)</f>
        <v>2</v>
      </c>
      <c r="I45" s="15">
        <f t="shared" si="0"/>
        <v>1.1764000000000001</v>
      </c>
      <c r="J45" t="str">
        <f t="shared" si="1"/>
        <v>update evaluasi set tahun = 1, nilai_maks = 100, nilai_input=58.82, bobot = 2, nilai_akhir = 1.1764, id_indikator = 'C020250215' where id_evaluasi = '20250022_C020250302';</v>
      </c>
      <c r="K45" s="14"/>
      <c r="P45" s="12"/>
      <c r="Q45" s="12"/>
    </row>
    <row r="46" spans="1:17" hidden="1" x14ac:dyDescent="0.35">
      <c r="A46" t="s">
        <v>116</v>
      </c>
      <c r="B46" t="s">
        <v>114</v>
      </c>
      <c r="C46" t="s">
        <v>65</v>
      </c>
      <c r="D46" t="s">
        <v>23</v>
      </c>
      <c r="E46" s="1">
        <v>1</v>
      </c>
      <c r="F46" s="1">
        <f>VLOOKUP(C46,m_indikator!$A$2:$F$30,5,TRUE)</f>
        <v>100</v>
      </c>
      <c r="G46" s="15">
        <v>90.42</v>
      </c>
      <c r="H46" s="1">
        <f>VLOOKUP(C46,m_indikator!$A$2:$F$30,6,TRUE)</f>
        <v>2</v>
      </c>
      <c r="I46" s="15">
        <f t="shared" si="0"/>
        <v>1.8084</v>
      </c>
      <c r="J46" t="str">
        <f t="shared" si="1"/>
        <v>update evaluasi set tahun = 1, nilai_maks = 100, nilai_input=90.42, bobot = 2, nilai_akhir = 1.8084, id_indikator = 'C020250215' where id_evaluasi = '20250023_C020250302';</v>
      </c>
      <c r="K46" s="14"/>
      <c r="P46" s="12"/>
      <c r="Q46" s="12"/>
    </row>
    <row r="47" spans="1:17" hidden="1" x14ac:dyDescent="0.35">
      <c r="A47" t="s">
        <v>117</v>
      </c>
      <c r="B47" t="s">
        <v>114</v>
      </c>
      <c r="C47" t="s">
        <v>65</v>
      </c>
      <c r="D47" t="s">
        <v>23</v>
      </c>
      <c r="E47" s="1">
        <v>1</v>
      </c>
      <c r="F47" s="1">
        <f>VLOOKUP(C47,m_indikator!$A$2:$F$30,5,TRUE)</f>
        <v>100</v>
      </c>
      <c r="G47" s="15">
        <v>56.69</v>
      </c>
      <c r="H47" s="1">
        <f>VLOOKUP(C47,m_indikator!$A$2:$F$30,6,TRUE)</f>
        <v>2</v>
      </c>
      <c r="I47" s="15">
        <f t="shared" si="0"/>
        <v>1.1337999999999999</v>
      </c>
      <c r="J47" t="str">
        <f t="shared" si="1"/>
        <v>update evaluasi set tahun = 1, nilai_maks = 100, nilai_input=56.69, bobot = 2, nilai_akhir = 1.1338, id_indikator = 'C020250215' where id_evaluasi = '20250024_C020250302';</v>
      </c>
      <c r="K47" s="14"/>
      <c r="P47" s="12"/>
      <c r="Q47" s="12"/>
    </row>
    <row r="48" spans="1:17" hidden="1" x14ac:dyDescent="0.35">
      <c r="A48" t="s">
        <v>118</v>
      </c>
      <c r="B48" t="s">
        <v>114</v>
      </c>
      <c r="C48" t="s">
        <v>65</v>
      </c>
      <c r="D48" t="s">
        <v>23</v>
      </c>
      <c r="E48" s="1">
        <v>1</v>
      </c>
      <c r="F48" s="1">
        <f>VLOOKUP(C48,m_indikator!$A$2:$F$30,5,TRUE)</f>
        <v>100</v>
      </c>
      <c r="G48" s="15">
        <v>50.62</v>
      </c>
      <c r="H48" s="1">
        <f>VLOOKUP(C48,m_indikator!$A$2:$F$30,6,TRUE)</f>
        <v>2</v>
      </c>
      <c r="I48" s="15">
        <f t="shared" si="0"/>
        <v>1.0124</v>
      </c>
      <c r="J48" t="str">
        <f t="shared" si="1"/>
        <v>update evaluasi set tahun = 1, nilai_maks = 100, nilai_input=50.62, bobot = 2, nilai_akhir = 1.0124, id_indikator = 'C020250215' where id_evaluasi = '20250025_C020250302';</v>
      </c>
      <c r="K48" s="14"/>
      <c r="P48" s="12"/>
      <c r="Q48" s="12"/>
    </row>
    <row r="49" spans="1:17" hidden="1" x14ac:dyDescent="0.35">
      <c r="A49" t="s">
        <v>119</v>
      </c>
      <c r="B49" t="s">
        <v>114</v>
      </c>
      <c r="C49" t="s">
        <v>65</v>
      </c>
      <c r="D49" t="s">
        <v>23</v>
      </c>
      <c r="E49" s="1">
        <v>1</v>
      </c>
      <c r="F49" s="1">
        <f>VLOOKUP(C49,m_indikator!$A$2:$F$30,5,TRUE)</f>
        <v>100</v>
      </c>
      <c r="G49" s="15">
        <v>58.08</v>
      </c>
      <c r="H49" s="1">
        <f>VLOOKUP(C49,m_indikator!$A$2:$F$30,6,TRUE)</f>
        <v>2</v>
      </c>
      <c r="I49" s="15">
        <f t="shared" si="0"/>
        <v>1.1616</v>
      </c>
      <c r="J49" t="str">
        <f t="shared" si="1"/>
        <v>update evaluasi set tahun = 1, nilai_maks = 100, nilai_input=58.08, bobot = 2, nilai_akhir = 1.1616, id_indikator = 'C020250215' where id_evaluasi = '20250026_C020250302';</v>
      </c>
      <c r="P49" s="12"/>
      <c r="Q49" s="12"/>
    </row>
    <row r="50" spans="1:17" hidden="1" x14ac:dyDescent="0.35">
      <c r="A50" t="s">
        <v>120</v>
      </c>
      <c r="B50" t="s">
        <v>114</v>
      </c>
      <c r="C50" t="s">
        <v>65</v>
      </c>
      <c r="D50" t="s">
        <v>23</v>
      </c>
      <c r="E50" s="1">
        <v>1</v>
      </c>
      <c r="F50" s="1">
        <f>VLOOKUP(C50,m_indikator!$A$2:$F$30,5,TRUE)</f>
        <v>100</v>
      </c>
      <c r="G50" s="15">
        <v>0</v>
      </c>
      <c r="H50" s="1">
        <f>VLOOKUP(C50,m_indikator!$A$2:$F$30,6,TRUE)</f>
        <v>2</v>
      </c>
      <c r="I50" s="15">
        <f t="shared" si="0"/>
        <v>0</v>
      </c>
      <c r="J50" t="str">
        <f t="shared" si="1"/>
        <v>update evaluasi set tahun = 1, nilai_maks = 100, nilai_input=0, bobot = 2, nilai_akhir = 0, id_indikator = 'C020250215' where id_evaluasi = '20250027_C020250302';</v>
      </c>
      <c r="P50" s="12"/>
      <c r="Q50" s="12"/>
    </row>
    <row r="51" spans="1:17" hidden="1" x14ac:dyDescent="0.35">
      <c r="A51" t="s">
        <v>121</v>
      </c>
      <c r="B51" t="s">
        <v>114</v>
      </c>
      <c r="C51" t="s">
        <v>65</v>
      </c>
      <c r="D51" t="s">
        <v>23</v>
      </c>
      <c r="E51" s="1">
        <v>1</v>
      </c>
      <c r="F51" s="1">
        <f>VLOOKUP(C51,m_indikator!$A$2:$F$30,5,TRUE)</f>
        <v>100</v>
      </c>
      <c r="G51" s="15">
        <v>88.37</v>
      </c>
      <c r="H51" s="1">
        <f>VLOOKUP(C51,m_indikator!$A$2:$F$30,6,TRUE)</f>
        <v>2</v>
      </c>
      <c r="I51" s="15">
        <f t="shared" si="0"/>
        <v>1.7674000000000001</v>
      </c>
      <c r="J51" t="str">
        <f t="shared" si="1"/>
        <v>update evaluasi set tahun = 1, nilai_maks = 100, nilai_input=88.37, bobot = 2, nilai_akhir = 1.7674, id_indikator = 'C020250215' where id_evaluasi = '20250028_C020250302';</v>
      </c>
      <c r="K51" s="14"/>
      <c r="P51" s="12"/>
      <c r="Q51" s="12"/>
    </row>
    <row r="52" spans="1:17" hidden="1" x14ac:dyDescent="0.35">
      <c r="A52" t="s">
        <v>122</v>
      </c>
      <c r="B52" t="s">
        <v>114</v>
      </c>
      <c r="C52" t="s">
        <v>65</v>
      </c>
      <c r="D52" t="s">
        <v>23</v>
      </c>
      <c r="E52" s="1">
        <v>1</v>
      </c>
      <c r="F52" s="1">
        <f>VLOOKUP(C52,m_indikator!$A$2:$F$30,5,TRUE)</f>
        <v>100</v>
      </c>
      <c r="G52" s="15">
        <v>0</v>
      </c>
      <c r="H52" s="1">
        <f>VLOOKUP(C52,m_indikator!$A$2:$F$30,6,TRUE)</f>
        <v>2</v>
      </c>
      <c r="I52" s="15">
        <f t="shared" si="0"/>
        <v>0</v>
      </c>
      <c r="J52" t="str">
        <f t="shared" si="1"/>
        <v>update evaluasi set tahun = 1, nilai_maks = 100, nilai_input=0, bobot = 2, nilai_akhir = 0, id_indikator = 'C020250215' where id_evaluasi = '20250029_C020250302';</v>
      </c>
      <c r="P52" s="12"/>
      <c r="Q52" s="12"/>
    </row>
    <row r="53" spans="1:17" hidden="1" x14ac:dyDescent="0.35">
      <c r="A53" t="s">
        <v>123</v>
      </c>
      <c r="B53" t="s">
        <v>114</v>
      </c>
      <c r="C53" t="s">
        <v>65</v>
      </c>
      <c r="D53" t="s">
        <v>23</v>
      </c>
      <c r="E53" s="1">
        <v>1</v>
      </c>
      <c r="F53" s="1">
        <f>VLOOKUP(C53,m_indikator!$A$2:$F$30,5,TRUE)</f>
        <v>100</v>
      </c>
      <c r="G53" s="15">
        <v>89.02</v>
      </c>
      <c r="H53" s="1">
        <f>VLOOKUP(C53,m_indikator!$A$2:$F$30,6,TRUE)</f>
        <v>2</v>
      </c>
      <c r="I53" s="15">
        <f t="shared" si="0"/>
        <v>1.7804</v>
      </c>
      <c r="J53" t="str">
        <f t="shared" si="1"/>
        <v>update evaluasi set tahun = 1, nilai_maks = 100, nilai_input=89.02, bobot = 2, nilai_akhir = 1.7804, id_indikator = 'C020250215' where id_evaluasi = '20250030_C020250302';</v>
      </c>
      <c r="P53" s="12"/>
      <c r="Q53" s="12"/>
    </row>
    <row r="54" spans="1:17" hidden="1" x14ac:dyDescent="0.35">
      <c r="A54" t="s">
        <v>124</v>
      </c>
      <c r="B54" t="s">
        <v>114</v>
      </c>
      <c r="C54" t="s">
        <v>65</v>
      </c>
      <c r="D54" t="s">
        <v>23</v>
      </c>
      <c r="E54" s="1">
        <v>1</v>
      </c>
      <c r="F54" s="1">
        <f>VLOOKUP(C54,m_indikator!$A$2:$F$30,5,TRUE)</f>
        <v>100</v>
      </c>
      <c r="G54" s="15">
        <v>67.8</v>
      </c>
      <c r="H54" s="1">
        <f>VLOOKUP(C54,m_indikator!$A$2:$F$30,6,TRUE)</f>
        <v>2</v>
      </c>
      <c r="I54" s="15">
        <f t="shared" si="0"/>
        <v>1.3559999999999999</v>
      </c>
      <c r="J54" t="str">
        <f t="shared" si="1"/>
        <v>update evaluasi set tahun = 1, nilai_maks = 100, nilai_input=67.8, bobot = 2, nilai_akhir = 1.356, id_indikator = 'C020250215' where id_evaluasi = '20250031_C020250302';</v>
      </c>
      <c r="P54" s="12"/>
      <c r="Q54" s="12"/>
    </row>
    <row r="55" spans="1:17" hidden="1" x14ac:dyDescent="0.35">
      <c r="A55" t="s">
        <v>125</v>
      </c>
      <c r="B55" t="s">
        <v>114</v>
      </c>
      <c r="C55" t="s">
        <v>65</v>
      </c>
      <c r="D55" t="s">
        <v>23</v>
      </c>
      <c r="E55" s="1">
        <v>1</v>
      </c>
      <c r="F55" s="1">
        <f>VLOOKUP(C55,m_indikator!$A$2:$F$30,5,TRUE)</f>
        <v>100</v>
      </c>
      <c r="G55" s="15">
        <v>90.04</v>
      </c>
      <c r="H55" s="1">
        <f>VLOOKUP(C55,m_indikator!$A$2:$F$30,6,TRUE)</f>
        <v>2</v>
      </c>
      <c r="I55" s="15">
        <f t="shared" si="0"/>
        <v>1.8008000000000002</v>
      </c>
      <c r="J55" t="str">
        <f t="shared" si="1"/>
        <v>update evaluasi set tahun = 1, nilai_maks = 100, nilai_input=90.04, bobot = 2, nilai_akhir = 1.8008, id_indikator = 'C020250215' where id_evaluasi = '20250032_C020250302';</v>
      </c>
      <c r="P55" s="12"/>
      <c r="Q55" s="12"/>
    </row>
    <row r="56" spans="1:17" hidden="1" x14ac:dyDescent="0.35">
      <c r="A56" t="s">
        <v>126</v>
      </c>
      <c r="B56" t="s">
        <v>114</v>
      </c>
      <c r="C56" t="s">
        <v>65</v>
      </c>
      <c r="D56" t="s">
        <v>23</v>
      </c>
      <c r="E56" s="1">
        <v>1</v>
      </c>
      <c r="F56" s="1">
        <f>VLOOKUP(C56,m_indikator!$A$2:$F$30,5,TRUE)</f>
        <v>100</v>
      </c>
      <c r="G56" s="15">
        <v>49.5</v>
      </c>
      <c r="H56" s="1">
        <f>VLOOKUP(C56,m_indikator!$A$2:$F$30,6,TRUE)</f>
        <v>2</v>
      </c>
      <c r="I56" s="15">
        <f t="shared" si="0"/>
        <v>0.99</v>
      </c>
      <c r="J56" t="str">
        <f t="shared" si="1"/>
        <v>update evaluasi set tahun = 1, nilai_maks = 100, nilai_input=49.5, bobot = 2, nilai_akhir = 0.99, id_indikator = 'C020250215' where id_evaluasi = '20250033_C020250302';</v>
      </c>
      <c r="P56" s="12"/>
      <c r="Q56" s="12"/>
    </row>
    <row r="57" spans="1:17" hidden="1" x14ac:dyDescent="0.35">
      <c r="A57" t="s">
        <v>127</v>
      </c>
      <c r="B57" t="s">
        <v>114</v>
      </c>
      <c r="C57" t="s">
        <v>65</v>
      </c>
      <c r="D57" t="s">
        <v>23</v>
      </c>
      <c r="E57" s="1">
        <v>1</v>
      </c>
      <c r="F57" s="1">
        <f>VLOOKUP(C57,m_indikator!$A$2:$F$30,5,TRUE)</f>
        <v>100</v>
      </c>
      <c r="G57" s="15">
        <v>90.88</v>
      </c>
      <c r="H57" s="1">
        <f>VLOOKUP(C57,m_indikator!$A$2:$F$30,6,TRUE)</f>
        <v>2</v>
      </c>
      <c r="I57" s="15">
        <f t="shared" si="0"/>
        <v>1.8175999999999999</v>
      </c>
      <c r="J57" t="str">
        <f t="shared" si="1"/>
        <v>update evaluasi set tahun = 1, nilai_maks = 100, nilai_input=90.88, bobot = 2, nilai_akhir = 1.8176, id_indikator = 'C020250215' where id_evaluasi = '20250034_C020250302';</v>
      </c>
      <c r="P57" s="12"/>
      <c r="Q57" s="12"/>
    </row>
    <row r="58" spans="1:17" hidden="1" x14ac:dyDescent="0.35">
      <c r="A58" t="s">
        <v>128</v>
      </c>
      <c r="B58" t="s">
        <v>114</v>
      </c>
      <c r="C58" t="s">
        <v>65</v>
      </c>
      <c r="D58" t="s">
        <v>23</v>
      </c>
      <c r="E58" s="1">
        <v>1</v>
      </c>
      <c r="F58" s="1">
        <f>VLOOKUP(C58,m_indikator!$A$2:$F$30,5,TRUE)</f>
        <v>100</v>
      </c>
      <c r="G58" s="15">
        <v>91.31</v>
      </c>
      <c r="H58" s="1">
        <f>VLOOKUP(C58,m_indikator!$A$2:$F$30,6,TRUE)</f>
        <v>2</v>
      </c>
      <c r="I58" s="15">
        <f t="shared" si="0"/>
        <v>1.8262</v>
      </c>
      <c r="J58" t="str">
        <f t="shared" si="1"/>
        <v>update evaluasi set tahun = 1, nilai_maks = 100, nilai_input=91.31, bobot = 2, nilai_akhir = 1.8262, id_indikator = 'C020250215' where id_evaluasi = '20250035_C020250302';</v>
      </c>
      <c r="P58" s="12"/>
      <c r="Q58" s="12"/>
    </row>
    <row r="59" spans="1:17" hidden="1" x14ac:dyDescent="0.35">
      <c r="A59" t="s">
        <v>129</v>
      </c>
      <c r="B59" t="s">
        <v>114</v>
      </c>
      <c r="C59" t="s">
        <v>65</v>
      </c>
      <c r="D59" t="s">
        <v>23</v>
      </c>
      <c r="E59" s="1">
        <v>1</v>
      </c>
      <c r="F59" s="1">
        <f>VLOOKUP(C59,m_indikator!$A$2:$F$30,5,TRUE)</f>
        <v>100</v>
      </c>
      <c r="G59" s="15">
        <v>60.5</v>
      </c>
      <c r="H59" s="1">
        <f>VLOOKUP(C59,m_indikator!$A$2:$F$30,6,TRUE)</f>
        <v>2</v>
      </c>
      <c r="I59" s="15">
        <f t="shared" si="0"/>
        <v>1.21</v>
      </c>
      <c r="J59" t="str">
        <f t="shared" si="1"/>
        <v>update evaluasi set tahun = 1, nilai_maks = 100, nilai_input=60.5, bobot = 2, nilai_akhir = 1.21, id_indikator = 'C020250215' where id_evaluasi = '20250036_C020250302';</v>
      </c>
      <c r="K59" s="14"/>
      <c r="P59" s="12"/>
      <c r="Q59" s="12"/>
    </row>
    <row r="60" spans="1:17" hidden="1" x14ac:dyDescent="0.35">
      <c r="A60" t="s">
        <v>130</v>
      </c>
      <c r="B60" t="s">
        <v>114</v>
      </c>
      <c r="C60" t="s">
        <v>65</v>
      </c>
      <c r="D60" t="s">
        <v>23</v>
      </c>
      <c r="E60" s="1">
        <v>1</v>
      </c>
      <c r="F60" s="1">
        <f>VLOOKUP(C60,m_indikator!$A$2:$F$30,5,TRUE)</f>
        <v>100</v>
      </c>
      <c r="G60" s="15">
        <v>0</v>
      </c>
      <c r="H60" s="1">
        <f>VLOOKUP(C60,m_indikator!$A$2:$F$30,6,TRUE)</f>
        <v>2</v>
      </c>
      <c r="I60" s="15">
        <f t="shared" si="0"/>
        <v>0</v>
      </c>
      <c r="J60" t="str">
        <f t="shared" si="1"/>
        <v>update evaluasi set tahun = 1, nilai_maks = 100, nilai_input=0, bobot = 2, nilai_akhir = 0, id_indikator = 'C020250215' where id_evaluasi = '20250037_C020250302';</v>
      </c>
      <c r="K60" s="14"/>
      <c r="P60" s="12"/>
      <c r="Q60" s="12"/>
    </row>
    <row r="61" spans="1:17" hidden="1" x14ac:dyDescent="0.35">
      <c r="A61" t="s">
        <v>131</v>
      </c>
      <c r="B61" t="s">
        <v>114</v>
      </c>
      <c r="C61" t="s">
        <v>65</v>
      </c>
      <c r="D61" t="s">
        <v>23</v>
      </c>
      <c r="E61" s="1">
        <v>1</v>
      </c>
      <c r="F61" s="1">
        <f>VLOOKUP(C61,m_indikator!$A$2:$F$30,5,TRUE)</f>
        <v>100</v>
      </c>
      <c r="G61" s="15">
        <v>92.82</v>
      </c>
      <c r="H61" s="1">
        <f>VLOOKUP(C61,m_indikator!$A$2:$F$30,6,TRUE)</f>
        <v>2</v>
      </c>
      <c r="I61" s="15">
        <f t="shared" si="0"/>
        <v>1.8563999999999998</v>
      </c>
      <c r="J61" t="str">
        <f t="shared" si="1"/>
        <v>update evaluasi set tahun = 1, nilai_maks = 100, nilai_input=92.82, bobot = 2, nilai_akhir = 1.8564, id_indikator = 'C020250215' where id_evaluasi = '20250038_C020250302';</v>
      </c>
      <c r="K61" s="14"/>
      <c r="P61" s="12"/>
      <c r="Q61" s="12"/>
    </row>
    <row r="62" spans="1:17" hidden="1" x14ac:dyDescent="0.35">
      <c r="A62" t="s">
        <v>132</v>
      </c>
      <c r="B62" t="s">
        <v>114</v>
      </c>
      <c r="C62" t="s">
        <v>65</v>
      </c>
      <c r="D62" t="s">
        <v>23</v>
      </c>
      <c r="E62" s="1">
        <v>1</v>
      </c>
      <c r="F62" s="1">
        <f>VLOOKUP(C62,m_indikator!$A$2:$F$30,5,TRUE)</f>
        <v>100</v>
      </c>
      <c r="G62" s="15">
        <v>58.98</v>
      </c>
      <c r="H62" s="1">
        <f>VLOOKUP(C62,m_indikator!$A$2:$F$30,6,TRUE)</f>
        <v>2</v>
      </c>
      <c r="I62" s="15">
        <f t="shared" si="0"/>
        <v>1.1796</v>
      </c>
      <c r="J62" t="str">
        <f t="shared" si="1"/>
        <v>update evaluasi set tahun = 1, nilai_maks = 100, nilai_input=58.98, bobot = 2, nilai_akhir = 1.1796, id_indikator = 'C020250215' where id_evaluasi = '20250039_C020250302';</v>
      </c>
      <c r="P62" s="12"/>
      <c r="Q62" s="12"/>
    </row>
    <row r="63" spans="1:17" hidden="1" x14ac:dyDescent="0.35">
      <c r="A63" t="s">
        <v>133</v>
      </c>
      <c r="B63" t="s">
        <v>114</v>
      </c>
      <c r="C63" t="s">
        <v>65</v>
      </c>
      <c r="D63" t="s">
        <v>23</v>
      </c>
      <c r="E63" s="1">
        <v>1</v>
      </c>
      <c r="F63" s="1">
        <f>VLOOKUP(C63,m_indikator!$A$2:$F$30,5,TRUE)</f>
        <v>100</v>
      </c>
      <c r="G63" s="15">
        <v>92.36</v>
      </c>
      <c r="H63" s="1">
        <f>VLOOKUP(C63,m_indikator!$A$2:$F$30,6,TRUE)</f>
        <v>2</v>
      </c>
      <c r="I63" s="15">
        <f t="shared" si="0"/>
        <v>1.8472</v>
      </c>
      <c r="J63" t="str">
        <f t="shared" si="1"/>
        <v>update evaluasi set tahun = 1, nilai_maks = 100, nilai_input=92.36, bobot = 2, nilai_akhir = 1.8472, id_indikator = 'C020250215' where id_evaluasi = '20250040_C020250302';</v>
      </c>
      <c r="K63" s="14"/>
      <c r="P63" s="12"/>
      <c r="Q63" s="12"/>
    </row>
    <row r="64" spans="1:17" hidden="1" x14ac:dyDescent="0.35">
      <c r="A64" t="s">
        <v>134</v>
      </c>
      <c r="B64" t="s">
        <v>114</v>
      </c>
      <c r="C64" t="s">
        <v>65</v>
      </c>
      <c r="D64" t="s">
        <v>23</v>
      </c>
      <c r="E64" s="1">
        <v>1</v>
      </c>
      <c r="F64" s="1">
        <f>VLOOKUP(C64,m_indikator!$A$2:$F$30,5,TRUE)</f>
        <v>100</v>
      </c>
      <c r="G64" s="15">
        <v>91.23</v>
      </c>
      <c r="H64" s="1">
        <f>VLOOKUP(C64,m_indikator!$A$2:$F$30,6,TRUE)</f>
        <v>2</v>
      </c>
      <c r="I64" s="15">
        <f t="shared" si="0"/>
        <v>1.8246</v>
      </c>
      <c r="J64" t="str">
        <f t="shared" si="1"/>
        <v>update evaluasi set tahun = 1, nilai_maks = 100, nilai_input=91.23, bobot = 2, nilai_akhir = 1.8246, id_indikator = 'C020250215' where id_evaluasi = '20250041_C020250302';</v>
      </c>
      <c r="P64" s="12"/>
      <c r="Q64" s="12"/>
    </row>
    <row r="65" spans="1:17" hidden="1" x14ac:dyDescent="0.35">
      <c r="A65" t="s">
        <v>135</v>
      </c>
      <c r="B65" t="s">
        <v>114</v>
      </c>
      <c r="C65" t="s">
        <v>65</v>
      </c>
      <c r="D65" t="s">
        <v>23</v>
      </c>
      <c r="E65" s="1">
        <v>1</v>
      </c>
      <c r="F65" s="1">
        <f>VLOOKUP(C65,m_indikator!$A$2:$F$30,5,TRUE)</f>
        <v>100</v>
      </c>
      <c r="G65" s="15">
        <v>91.98</v>
      </c>
      <c r="H65" s="1">
        <f>VLOOKUP(C65,m_indikator!$A$2:$F$30,6,TRUE)</f>
        <v>2</v>
      </c>
      <c r="I65" s="15">
        <f t="shared" si="0"/>
        <v>1.8396000000000001</v>
      </c>
      <c r="J65" t="str">
        <f t="shared" si="1"/>
        <v>update evaluasi set tahun = 1, nilai_maks = 100, nilai_input=91.98, bobot = 2, nilai_akhir = 1.8396, id_indikator = 'C020250215' where id_evaluasi = '20250042_C020250302';</v>
      </c>
      <c r="P65" s="12"/>
      <c r="Q65" s="12"/>
    </row>
    <row r="66" spans="1:17" hidden="1" x14ac:dyDescent="0.35">
      <c r="A66" t="s">
        <v>136</v>
      </c>
      <c r="B66" t="s">
        <v>114</v>
      </c>
      <c r="C66" t="s">
        <v>65</v>
      </c>
      <c r="D66" t="s">
        <v>23</v>
      </c>
      <c r="E66" s="1">
        <v>1</v>
      </c>
      <c r="F66" s="1">
        <f>VLOOKUP(C66,m_indikator!$A$2:$F$30,5,TRUE)</f>
        <v>100</v>
      </c>
      <c r="G66" s="15">
        <v>90.55</v>
      </c>
      <c r="H66" s="1">
        <f>VLOOKUP(C66,m_indikator!$A$2:$F$30,6,TRUE)</f>
        <v>2</v>
      </c>
      <c r="I66" s="15">
        <f t="shared" ref="I66:I129" si="2">(G66/F66)*H66</f>
        <v>1.8109999999999999</v>
      </c>
      <c r="J66" t="str">
        <f t="shared" ref="J66:J129" si="3">"update evaluasi set tahun = "&amp;E66&amp;", nilai_maks = "&amp;F66&amp;", nilai_input="&amp;G66&amp;", bobot = "&amp;H66&amp;", nilai_akhir = "&amp;I66&amp;", id_indikator = '"&amp;C66&amp;"' where id_evaluasi = '"&amp;A66&amp;"';"</f>
        <v>update evaluasi set tahun = 1, nilai_maks = 100, nilai_input=90.55, bobot = 2, nilai_akhir = 1.811, id_indikator = 'C020250215' where id_evaluasi = '20250043_C020250302';</v>
      </c>
      <c r="P66" s="12"/>
      <c r="Q66" s="12"/>
    </row>
    <row r="67" spans="1:17" hidden="1" x14ac:dyDescent="0.35">
      <c r="A67" t="s">
        <v>137</v>
      </c>
      <c r="B67" t="s">
        <v>114</v>
      </c>
      <c r="C67" t="s">
        <v>65</v>
      </c>
      <c r="D67" t="s">
        <v>23</v>
      </c>
      <c r="E67" s="1">
        <v>1</v>
      </c>
      <c r="F67" s="1">
        <f>VLOOKUP(C67,m_indikator!$A$2:$F$30,5,TRUE)</f>
        <v>100</v>
      </c>
      <c r="G67" s="15">
        <v>89.92</v>
      </c>
      <c r="H67" s="1">
        <f>VLOOKUP(C67,m_indikator!$A$2:$F$30,6,TRUE)</f>
        <v>2</v>
      </c>
      <c r="I67" s="15">
        <f t="shared" si="2"/>
        <v>1.7984</v>
      </c>
      <c r="J67" t="str">
        <f t="shared" si="3"/>
        <v>update evaluasi set tahun = 1, nilai_maks = 100, nilai_input=89.92, bobot = 2, nilai_akhir = 1.7984, id_indikator = 'C020250215' where id_evaluasi = '20250044_C020250302';</v>
      </c>
      <c r="P67" s="12"/>
      <c r="Q67" s="12"/>
    </row>
    <row r="68" spans="1:17" hidden="1" x14ac:dyDescent="0.35">
      <c r="A68" t="s">
        <v>138</v>
      </c>
      <c r="B68" t="s">
        <v>114</v>
      </c>
      <c r="C68" t="s">
        <v>65</v>
      </c>
      <c r="D68" t="s">
        <v>23</v>
      </c>
      <c r="E68" s="1">
        <v>1</v>
      </c>
      <c r="F68" s="1">
        <f>VLOOKUP(C68,m_indikator!$A$2:$F$30,5,TRUE)</f>
        <v>100</v>
      </c>
      <c r="G68" s="15">
        <v>67.650000000000006</v>
      </c>
      <c r="H68" s="1">
        <f>VLOOKUP(C68,m_indikator!$A$2:$F$30,6,TRUE)</f>
        <v>2</v>
      </c>
      <c r="I68" s="15">
        <f t="shared" si="2"/>
        <v>1.3530000000000002</v>
      </c>
      <c r="J68" t="str">
        <f t="shared" si="3"/>
        <v>update evaluasi set tahun = 1, nilai_maks = 100, nilai_input=67.65, bobot = 2, nilai_akhir = 1.353, id_indikator = 'C020250215' where id_evaluasi = '20250045_C020250302';</v>
      </c>
      <c r="K68" s="14"/>
      <c r="P68" s="12"/>
      <c r="Q68" s="12"/>
    </row>
    <row r="69" spans="1:17" hidden="1" x14ac:dyDescent="0.35">
      <c r="A69" t="s">
        <v>139</v>
      </c>
      <c r="B69" t="s">
        <v>114</v>
      </c>
      <c r="C69" t="s">
        <v>65</v>
      </c>
      <c r="D69" t="s">
        <v>23</v>
      </c>
      <c r="E69" s="1">
        <v>1</v>
      </c>
      <c r="F69" s="1">
        <f>VLOOKUP(C69,m_indikator!$A$2:$F$30,5,TRUE)</f>
        <v>100</v>
      </c>
      <c r="G69" s="15">
        <v>50.83</v>
      </c>
      <c r="H69" s="1">
        <f>VLOOKUP(C69,m_indikator!$A$2:$F$30,6,TRUE)</f>
        <v>2</v>
      </c>
      <c r="I69" s="15">
        <f t="shared" si="2"/>
        <v>1.0165999999999999</v>
      </c>
      <c r="J69" t="str">
        <f t="shared" si="3"/>
        <v>update evaluasi set tahun = 1, nilai_maks = 100, nilai_input=50.83, bobot = 2, nilai_akhir = 1.0166, id_indikator = 'C020250215' where id_evaluasi = '20250046_C020250302';</v>
      </c>
      <c r="K69" s="14"/>
      <c r="P69" s="12"/>
      <c r="Q69" s="12"/>
    </row>
    <row r="70" spans="1:17" hidden="1" x14ac:dyDescent="0.35">
      <c r="A70" t="s">
        <v>140</v>
      </c>
      <c r="B70" t="s">
        <v>114</v>
      </c>
      <c r="C70" t="s">
        <v>65</v>
      </c>
      <c r="D70" t="s">
        <v>23</v>
      </c>
      <c r="E70" s="1">
        <v>1</v>
      </c>
      <c r="F70" s="1">
        <f>VLOOKUP(C70,m_indikator!$A$2:$F$30,5,TRUE)</f>
        <v>100</v>
      </c>
      <c r="G70" s="15">
        <v>0</v>
      </c>
      <c r="H70" s="1">
        <f>VLOOKUP(C70,m_indikator!$A$2:$F$30,6,TRUE)</f>
        <v>2</v>
      </c>
      <c r="I70" s="15">
        <f t="shared" si="2"/>
        <v>0</v>
      </c>
      <c r="J70" t="str">
        <f t="shared" si="3"/>
        <v>update evaluasi set tahun = 1, nilai_maks = 100, nilai_input=0, bobot = 2, nilai_akhir = 0, id_indikator = 'C020250215' where id_evaluasi = '20250047_C020250302';</v>
      </c>
      <c r="P70" s="12"/>
      <c r="Q70" s="12"/>
    </row>
    <row r="71" spans="1:17" hidden="1" x14ac:dyDescent="0.35">
      <c r="A71" t="s">
        <v>141</v>
      </c>
      <c r="B71" t="s">
        <v>114</v>
      </c>
      <c r="C71" t="s">
        <v>65</v>
      </c>
      <c r="D71" t="s">
        <v>23</v>
      </c>
      <c r="E71" s="1">
        <v>1</v>
      </c>
      <c r="F71" s="1">
        <f>VLOOKUP(C71,m_indikator!$A$2:$F$30,5,TRUE)</f>
        <v>100</v>
      </c>
      <c r="G71" s="15">
        <v>69.23</v>
      </c>
      <c r="H71" s="1">
        <f>VLOOKUP(C71,m_indikator!$A$2:$F$30,6,TRUE)</f>
        <v>2</v>
      </c>
      <c r="I71" s="15">
        <f t="shared" si="2"/>
        <v>1.3846000000000001</v>
      </c>
      <c r="J71" t="str">
        <f t="shared" si="3"/>
        <v>update evaluasi set tahun = 1, nilai_maks = 100, nilai_input=69.23, bobot = 2, nilai_akhir = 1.3846, id_indikator = 'C020250215' where id_evaluasi = '20250048_C020250302';</v>
      </c>
      <c r="K71" s="14"/>
      <c r="P71" s="12"/>
      <c r="Q71" s="12"/>
    </row>
    <row r="72" spans="1:17" hidden="1" x14ac:dyDescent="0.35">
      <c r="A72" t="s">
        <v>142</v>
      </c>
      <c r="B72" t="s">
        <v>114</v>
      </c>
      <c r="C72" t="s">
        <v>65</v>
      </c>
      <c r="D72" t="s">
        <v>23</v>
      </c>
      <c r="E72" s="1">
        <v>1</v>
      </c>
      <c r="F72" s="1">
        <f>VLOOKUP(C72,m_indikator!$A$2:$F$30,5,TRUE)</f>
        <v>100</v>
      </c>
      <c r="G72" s="15">
        <v>56.49</v>
      </c>
      <c r="H72" s="1">
        <f>VLOOKUP(C72,m_indikator!$A$2:$F$30,6,TRUE)</f>
        <v>2</v>
      </c>
      <c r="I72" s="15">
        <f t="shared" si="2"/>
        <v>1.1298000000000001</v>
      </c>
      <c r="J72" t="str">
        <f t="shared" si="3"/>
        <v>update evaluasi set tahun = 1, nilai_maks = 100, nilai_input=56.49, bobot = 2, nilai_akhir = 1.1298, id_indikator = 'C020250215' where id_evaluasi = '20250049_C020250302';</v>
      </c>
      <c r="K72" s="14"/>
      <c r="P72" s="12"/>
      <c r="Q72" s="12"/>
    </row>
    <row r="73" spans="1:17" hidden="1" x14ac:dyDescent="0.35">
      <c r="A73" t="s">
        <v>143</v>
      </c>
      <c r="B73" t="s">
        <v>114</v>
      </c>
      <c r="C73" t="s">
        <v>65</v>
      </c>
      <c r="D73" t="s">
        <v>23</v>
      </c>
      <c r="E73" s="1">
        <v>1</v>
      </c>
      <c r="F73" s="1">
        <f>VLOOKUP(C73,m_indikator!$A$2:$F$30,5,TRUE)</f>
        <v>100</v>
      </c>
      <c r="G73" s="15">
        <v>47.25</v>
      </c>
      <c r="H73" s="1">
        <f>VLOOKUP(C73,m_indikator!$A$2:$F$30,6,TRUE)</f>
        <v>2</v>
      </c>
      <c r="I73" s="15">
        <f t="shared" si="2"/>
        <v>0.94499999999999995</v>
      </c>
      <c r="J73" t="str">
        <f t="shared" si="3"/>
        <v>update evaluasi set tahun = 1, nilai_maks = 100, nilai_input=47.25, bobot = 2, nilai_akhir = 0.945, id_indikator = 'C020250215' where id_evaluasi = '20250050_C020250302';</v>
      </c>
      <c r="P73" s="12"/>
      <c r="Q73" s="12"/>
    </row>
    <row r="74" spans="1:17" hidden="1" x14ac:dyDescent="0.35">
      <c r="A74" t="s">
        <v>144</v>
      </c>
      <c r="B74" t="s">
        <v>114</v>
      </c>
      <c r="C74" t="s">
        <v>65</v>
      </c>
      <c r="D74" t="s">
        <v>23</v>
      </c>
      <c r="E74" s="1">
        <v>1</v>
      </c>
      <c r="F74" s="1">
        <f>VLOOKUP(C74,m_indikator!$A$2:$F$30,5,TRUE)</f>
        <v>100</v>
      </c>
      <c r="G74" s="15">
        <v>0</v>
      </c>
      <c r="H74" s="1">
        <f>VLOOKUP(C74,m_indikator!$A$2:$F$30,6,TRUE)</f>
        <v>2</v>
      </c>
      <c r="I74" s="15">
        <f t="shared" si="2"/>
        <v>0</v>
      </c>
      <c r="J74" t="str">
        <f t="shared" si="3"/>
        <v>update evaluasi set tahun = 1, nilai_maks = 100, nilai_input=0, bobot = 2, nilai_akhir = 0, id_indikator = 'C020250215' where id_evaluasi = '20250051_C020250302';</v>
      </c>
      <c r="P74" s="12"/>
      <c r="Q74" s="12"/>
    </row>
    <row r="75" spans="1:17" hidden="1" x14ac:dyDescent="0.35">
      <c r="A75" t="s">
        <v>145</v>
      </c>
      <c r="B75" t="s">
        <v>114</v>
      </c>
      <c r="C75" t="s">
        <v>65</v>
      </c>
      <c r="D75" t="s">
        <v>23</v>
      </c>
      <c r="E75" s="1">
        <v>1</v>
      </c>
      <c r="F75" s="1">
        <f>VLOOKUP(C75,m_indikator!$A$2:$F$30,5,TRUE)</f>
        <v>100</v>
      </c>
      <c r="G75" s="15">
        <v>53.87</v>
      </c>
      <c r="H75" s="1">
        <f>VLOOKUP(C75,m_indikator!$A$2:$F$30,6,TRUE)</f>
        <v>2</v>
      </c>
      <c r="I75" s="15">
        <f t="shared" si="2"/>
        <v>1.0773999999999999</v>
      </c>
      <c r="J75" t="str">
        <f t="shared" si="3"/>
        <v>update evaluasi set tahun = 1, nilai_maks = 100, nilai_input=53.87, bobot = 2, nilai_akhir = 1.0774, id_indikator = 'C020250215' where id_evaluasi = '20250052_C020250302';</v>
      </c>
      <c r="P75" s="12"/>
      <c r="Q75" s="12"/>
    </row>
    <row r="76" spans="1:17" hidden="1" x14ac:dyDescent="0.35">
      <c r="A76" t="s">
        <v>146</v>
      </c>
      <c r="B76" t="s">
        <v>114</v>
      </c>
      <c r="C76" t="s">
        <v>65</v>
      </c>
      <c r="D76" t="s">
        <v>23</v>
      </c>
      <c r="E76" s="1">
        <v>1</v>
      </c>
      <c r="F76" s="1">
        <f>VLOOKUP(C76,m_indikator!$A$2:$F$30,5,TRUE)</f>
        <v>100</v>
      </c>
      <c r="G76" s="15">
        <v>59.47</v>
      </c>
      <c r="H76" s="1">
        <f>VLOOKUP(C76,m_indikator!$A$2:$F$30,6,TRUE)</f>
        <v>2</v>
      </c>
      <c r="I76" s="15">
        <f t="shared" si="2"/>
        <v>1.1894</v>
      </c>
      <c r="J76" t="str">
        <f t="shared" si="3"/>
        <v>update evaluasi set tahun = 1, nilai_maks = 100, nilai_input=59.47, bobot = 2, nilai_akhir = 1.1894, id_indikator = 'C020250215' where id_evaluasi = '20250053_C020250302';</v>
      </c>
      <c r="P76" s="12"/>
      <c r="Q76" s="12"/>
    </row>
    <row r="77" spans="1:17" hidden="1" x14ac:dyDescent="0.35">
      <c r="A77" t="s">
        <v>147</v>
      </c>
      <c r="B77" t="s">
        <v>114</v>
      </c>
      <c r="C77" t="s">
        <v>65</v>
      </c>
      <c r="D77" t="s">
        <v>23</v>
      </c>
      <c r="E77" s="1">
        <v>1</v>
      </c>
      <c r="F77" s="1">
        <f>VLOOKUP(C77,m_indikator!$A$2:$F$30,5,TRUE)</f>
        <v>100</v>
      </c>
      <c r="G77" s="15">
        <v>52.17</v>
      </c>
      <c r="H77" s="1">
        <f>VLOOKUP(C77,m_indikator!$A$2:$F$30,6,TRUE)</f>
        <v>2</v>
      </c>
      <c r="I77" s="15">
        <f t="shared" si="2"/>
        <v>1.0434000000000001</v>
      </c>
      <c r="J77" t="str">
        <f t="shared" si="3"/>
        <v>update evaluasi set tahun = 1, nilai_maks = 100, nilai_input=52.17, bobot = 2, nilai_akhir = 1.0434, id_indikator = 'C020250215' where id_evaluasi = '20250054_C020250302';</v>
      </c>
      <c r="P77" s="12"/>
      <c r="Q77" s="12"/>
    </row>
    <row r="78" spans="1:17" hidden="1" x14ac:dyDescent="0.35">
      <c r="A78" t="s">
        <v>148</v>
      </c>
      <c r="B78" t="s">
        <v>114</v>
      </c>
      <c r="C78" t="s">
        <v>65</v>
      </c>
      <c r="D78" t="s">
        <v>23</v>
      </c>
      <c r="E78" s="1">
        <v>1</v>
      </c>
      <c r="F78" s="1">
        <f>VLOOKUP(C78,m_indikator!$A$2:$F$30,5,TRUE)</f>
        <v>100</v>
      </c>
      <c r="G78" s="15">
        <v>48.52</v>
      </c>
      <c r="H78" s="1">
        <f>VLOOKUP(C78,m_indikator!$A$2:$F$30,6,TRUE)</f>
        <v>2</v>
      </c>
      <c r="I78" s="15">
        <f t="shared" si="2"/>
        <v>0.97040000000000004</v>
      </c>
      <c r="J78" t="str">
        <f t="shared" si="3"/>
        <v>update evaluasi set tahun = 1, nilai_maks = 100, nilai_input=48.52, bobot = 2, nilai_akhir = 0.9704, id_indikator = 'C020250215' where id_evaluasi = '20250055_C020250302';</v>
      </c>
      <c r="P78" s="12"/>
      <c r="Q78" s="12"/>
    </row>
    <row r="79" spans="1:17" hidden="1" x14ac:dyDescent="0.35">
      <c r="A79" t="s">
        <v>149</v>
      </c>
      <c r="B79" t="s">
        <v>114</v>
      </c>
      <c r="C79" t="s">
        <v>65</v>
      </c>
      <c r="D79" t="s">
        <v>23</v>
      </c>
      <c r="E79" s="1">
        <v>1</v>
      </c>
      <c r="F79" s="1">
        <f>VLOOKUP(C79,m_indikator!$A$2:$F$30,5,TRUE)</f>
        <v>100</v>
      </c>
      <c r="G79" s="15">
        <v>70.959999999999994</v>
      </c>
      <c r="H79" s="1">
        <f>VLOOKUP(C79,m_indikator!$A$2:$F$30,6,TRUE)</f>
        <v>2</v>
      </c>
      <c r="I79" s="15">
        <f t="shared" si="2"/>
        <v>1.4191999999999998</v>
      </c>
      <c r="J79" t="str">
        <f t="shared" si="3"/>
        <v>update evaluasi set tahun = 1, nilai_maks = 100, nilai_input=70.96, bobot = 2, nilai_akhir = 1.4192, id_indikator = 'C020250215' where id_evaluasi = '20250095_C020250302';</v>
      </c>
      <c r="K79" s="14"/>
      <c r="P79" s="12"/>
      <c r="Q79" s="12"/>
    </row>
    <row r="80" spans="1:17" hidden="1" x14ac:dyDescent="0.35">
      <c r="A80" t="s">
        <v>150</v>
      </c>
      <c r="B80" t="s">
        <v>114</v>
      </c>
      <c r="C80" t="s">
        <v>65</v>
      </c>
      <c r="D80" t="s">
        <v>23</v>
      </c>
      <c r="E80" s="1">
        <v>1</v>
      </c>
      <c r="F80" s="1">
        <f>VLOOKUP(C80,m_indikator!$A$2:$F$30,5,TRUE)</f>
        <v>100</v>
      </c>
      <c r="G80" s="15">
        <v>90.35</v>
      </c>
      <c r="H80" s="1">
        <f>VLOOKUP(C80,m_indikator!$A$2:$F$30,6,TRUE)</f>
        <v>2</v>
      </c>
      <c r="I80" s="15">
        <f t="shared" si="2"/>
        <v>1.8069999999999999</v>
      </c>
      <c r="J80" t="str">
        <f t="shared" si="3"/>
        <v>update evaluasi set tahun = 1, nilai_maks = 100, nilai_input=90.35, bobot = 2, nilai_akhir = 1.807, id_indikator = 'C020250215' where id_evaluasi = '20250103_C020250302';</v>
      </c>
      <c r="P80" s="12"/>
      <c r="Q80" s="12"/>
    </row>
    <row r="81" spans="1:22" hidden="1" x14ac:dyDescent="0.35">
      <c r="A81" t="s">
        <v>151</v>
      </c>
      <c r="B81" t="s">
        <v>114</v>
      </c>
      <c r="C81" t="s">
        <v>65</v>
      </c>
      <c r="D81" t="s">
        <v>23</v>
      </c>
      <c r="E81" s="1">
        <v>1</v>
      </c>
      <c r="F81" s="1">
        <f>VLOOKUP(C81,m_indikator!$A$2:$F$30,5,TRUE)</f>
        <v>100</v>
      </c>
      <c r="G81" s="15">
        <v>69.58</v>
      </c>
      <c r="H81" s="1">
        <f>VLOOKUP(C81,m_indikator!$A$2:$F$30,6,TRUE)</f>
        <v>2</v>
      </c>
      <c r="I81" s="15">
        <f t="shared" si="2"/>
        <v>1.3915999999999999</v>
      </c>
      <c r="J81" t="str">
        <f t="shared" si="3"/>
        <v>update evaluasi set tahun = 1, nilai_maks = 100, nilai_input=69.58, bobot = 2, nilai_akhir = 1.3916, id_indikator = 'C020250215' where id_evaluasi = '20250104_C020250302';</v>
      </c>
      <c r="P81" s="12"/>
      <c r="Q81" s="12"/>
    </row>
    <row r="82" spans="1:22" hidden="1" x14ac:dyDescent="0.35">
      <c r="A82" t="s">
        <v>152</v>
      </c>
      <c r="B82" t="s">
        <v>114</v>
      </c>
      <c r="C82" t="s">
        <v>65</v>
      </c>
      <c r="D82" t="s">
        <v>23</v>
      </c>
      <c r="E82" s="1">
        <v>1</v>
      </c>
      <c r="F82" s="1">
        <f>VLOOKUP(C82,m_indikator!$A$2:$F$30,5,TRUE)</f>
        <v>100</v>
      </c>
      <c r="G82" s="15">
        <v>47</v>
      </c>
      <c r="H82" s="1">
        <f>VLOOKUP(C82,m_indikator!$A$2:$F$30,6,TRUE)</f>
        <v>2</v>
      </c>
      <c r="I82" s="15">
        <f t="shared" si="2"/>
        <v>0.94</v>
      </c>
      <c r="J82" t="str">
        <f t="shared" si="3"/>
        <v>update evaluasi set tahun = 1, nilai_maks = 100, nilai_input=47, bobot = 2, nilai_akhir = 0.94, id_indikator = 'C020250215' where id_evaluasi = '20250105_C020250302';</v>
      </c>
      <c r="P82" s="12"/>
      <c r="Q82" s="12"/>
    </row>
    <row r="83" spans="1:22" hidden="1" x14ac:dyDescent="0.35">
      <c r="A83" t="s">
        <v>153</v>
      </c>
      <c r="B83" t="s">
        <v>114</v>
      </c>
      <c r="C83" t="s">
        <v>65</v>
      </c>
      <c r="D83" t="s">
        <v>23</v>
      </c>
      <c r="E83" s="1">
        <v>1</v>
      </c>
      <c r="F83" s="1">
        <f>VLOOKUP(C83,m_indikator!$A$2:$F$30,5,TRUE)</f>
        <v>100</v>
      </c>
      <c r="G83" s="15">
        <v>69.849999999999994</v>
      </c>
      <c r="H83" s="1">
        <f>VLOOKUP(C83,m_indikator!$A$2:$F$30,6,TRUE)</f>
        <v>2</v>
      </c>
      <c r="I83" s="15">
        <f t="shared" si="2"/>
        <v>1.3969999999999998</v>
      </c>
      <c r="J83" t="str">
        <f t="shared" si="3"/>
        <v>update evaluasi set tahun = 1, nilai_maks = 100, nilai_input=69.85, bobot = 2, nilai_akhir = 1.397, id_indikator = 'C020250215' where id_evaluasi = '20250106_C020250302';</v>
      </c>
      <c r="P83" s="12"/>
      <c r="Q83" s="12"/>
    </row>
    <row r="84" spans="1:22" hidden="1" x14ac:dyDescent="0.35">
      <c r="A84" t="s">
        <v>154</v>
      </c>
      <c r="B84" t="s">
        <v>114</v>
      </c>
      <c r="C84" t="s">
        <v>65</v>
      </c>
      <c r="D84" t="s">
        <v>23</v>
      </c>
      <c r="E84" s="1">
        <v>1</v>
      </c>
      <c r="F84" s="1">
        <f>VLOOKUP(C84,m_indikator!$A$2:$F$30,5,TRUE)</f>
        <v>100</v>
      </c>
      <c r="G84" s="15">
        <v>48.37</v>
      </c>
      <c r="H84" s="1">
        <f>VLOOKUP(C84,m_indikator!$A$2:$F$30,6,TRUE)</f>
        <v>2</v>
      </c>
      <c r="I84" s="15">
        <f t="shared" si="2"/>
        <v>0.96739999999999993</v>
      </c>
      <c r="J84" t="str">
        <f t="shared" si="3"/>
        <v>update evaluasi set tahun = 1, nilai_maks = 100, nilai_input=48.37, bobot = 2, nilai_akhir = 0.9674, id_indikator = 'C020250215' where id_evaluasi = '20250107_C020250302';</v>
      </c>
      <c r="K84" s="14"/>
      <c r="P84" s="12"/>
      <c r="Q84" s="12"/>
    </row>
    <row r="85" spans="1:22" hidden="1" x14ac:dyDescent="0.35">
      <c r="A85" t="s">
        <v>155</v>
      </c>
      <c r="B85" t="s">
        <v>114</v>
      </c>
      <c r="C85" t="s">
        <v>65</v>
      </c>
      <c r="D85" t="s">
        <v>23</v>
      </c>
      <c r="E85" s="1">
        <v>1</v>
      </c>
      <c r="F85" s="1">
        <f>VLOOKUP(C85,m_indikator!$A$2:$F$30,5,TRUE)</f>
        <v>100</v>
      </c>
      <c r="G85" s="15">
        <v>52.25</v>
      </c>
      <c r="H85" s="1">
        <f>VLOOKUP(C85,m_indikator!$A$2:$F$30,6,TRUE)</f>
        <v>2</v>
      </c>
      <c r="I85" s="15">
        <f t="shared" si="2"/>
        <v>1.0449999999999999</v>
      </c>
      <c r="J85" t="str">
        <f t="shared" si="3"/>
        <v>update evaluasi set tahun = 1, nilai_maks = 100, nilai_input=52.25, bobot = 2, nilai_akhir = 1.045, id_indikator = 'C020250215' where id_evaluasi = '20250108_C020250302';</v>
      </c>
      <c r="K85" s="14"/>
      <c r="P85" s="12"/>
      <c r="Q85" s="12"/>
    </row>
    <row r="86" spans="1:22" hidden="1" x14ac:dyDescent="0.35">
      <c r="A86" t="s">
        <v>156</v>
      </c>
      <c r="B86" t="s">
        <v>114</v>
      </c>
      <c r="C86" t="s">
        <v>65</v>
      </c>
      <c r="D86" t="s">
        <v>23</v>
      </c>
      <c r="E86" s="1">
        <v>1</v>
      </c>
      <c r="F86" s="1">
        <f>VLOOKUP(C86,m_indikator!$A$2:$F$30,5,TRUE)</f>
        <v>100</v>
      </c>
      <c r="G86" s="15">
        <v>52.12</v>
      </c>
      <c r="H86" s="1">
        <f>VLOOKUP(C86,m_indikator!$A$2:$F$30,6,TRUE)</f>
        <v>2</v>
      </c>
      <c r="I86" s="15">
        <f t="shared" si="2"/>
        <v>1.0424</v>
      </c>
      <c r="J86" t="str">
        <f t="shared" si="3"/>
        <v>update evaluasi set tahun = 1, nilai_maks = 100, nilai_input=52.12, bobot = 2, nilai_akhir = 1.0424, id_indikator = 'C020250215' where id_evaluasi = '20250109_C020250302';</v>
      </c>
      <c r="K86" s="14"/>
      <c r="P86" s="12"/>
      <c r="Q86" s="12"/>
    </row>
    <row r="87" spans="1:22" hidden="1" x14ac:dyDescent="0.35">
      <c r="A87" t="s">
        <v>157</v>
      </c>
      <c r="B87" t="s">
        <v>114</v>
      </c>
      <c r="C87" t="s">
        <v>65</v>
      </c>
      <c r="D87" t="s">
        <v>23</v>
      </c>
      <c r="E87" s="1">
        <v>1</v>
      </c>
      <c r="F87" s="1">
        <f>VLOOKUP(C87,m_indikator!$A$2:$F$30,5,TRUE)</f>
        <v>100</v>
      </c>
      <c r="G87" s="15">
        <v>0</v>
      </c>
      <c r="H87" s="1">
        <f>VLOOKUP(C87,m_indikator!$A$2:$F$30,6,TRUE)</f>
        <v>2</v>
      </c>
      <c r="I87" s="15">
        <f t="shared" si="2"/>
        <v>0</v>
      </c>
      <c r="J87" t="str">
        <f t="shared" si="3"/>
        <v>update evaluasi set tahun = 1, nilai_maks = 100, nilai_input=0, bobot = 2, nilai_akhir = 0, id_indikator = 'C020250215' where id_evaluasi = '20250110_C020250302';</v>
      </c>
      <c r="K87" s="14"/>
      <c r="P87" s="12"/>
      <c r="Q87" s="12"/>
    </row>
    <row r="88" spans="1:22" hidden="1" x14ac:dyDescent="0.35">
      <c r="A88" t="s">
        <v>178</v>
      </c>
      <c r="B88" t="s">
        <v>179</v>
      </c>
      <c r="C88" t="s">
        <v>63</v>
      </c>
      <c r="D88" t="s">
        <v>64</v>
      </c>
      <c r="E88" s="1">
        <v>1</v>
      </c>
      <c r="F88" s="1">
        <f>VLOOKUP(C88,m_indikator!$A$2:$F$30,5,TRUE)</f>
        <v>100</v>
      </c>
      <c r="G88" s="15">
        <v>70.349999999999994</v>
      </c>
      <c r="H88" s="1">
        <f>VLOOKUP(C88,m_indikator!$A$2:$F$30,6,TRUE)</f>
        <v>3</v>
      </c>
      <c r="I88" s="15">
        <f t="shared" si="2"/>
        <v>2.1104999999999996</v>
      </c>
      <c r="J88" t="str">
        <f t="shared" si="3"/>
        <v>update evaluasi set tahun = 1, nilai_maks = 100, nilai_input=70.35, bobot = 3, nilai_akhir = 2.1105, id_indikator = 'C020250214' where id_evaluasi = '20250001_C020250303';</v>
      </c>
      <c r="K88" s="14"/>
      <c r="P88" s="12"/>
      <c r="Q88" s="12"/>
      <c r="U88" s="13"/>
      <c r="V88" s="13"/>
    </row>
    <row r="89" spans="1:22" hidden="1" x14ac:dyDescent="0.35">
      <c r="A89" t="s">
        <v>180</v>
      </c>
      <c r="B89" t="s">
        <v>179</v>
      </c>
      <c r="C89" t="s">
        <v>63</v>
      </c>
      <c r="D89" t="s">
        <v>64</v>
      </c>
      <c r="E89" s="1">
        <v>1</v>
      </c>
      <c r="F89" s="1">
        <f>VLOOKUP(C89,m_indikator!$A$2:$F$30,5,TRUE)</f>
        <v>100</v>
      </c>
      <c r="G89" s="15">
        <v>73.180000000000007</v>
      </c>
      <c r="H89" s="1">
        <f>VLOOKUP(C89,m_indikator!$A$2:$F$30,6,TRUE)</f>
        <v>3</v>
      </c>
      <c r="I89" s="15">
        <f t="shared" si="2"/>
        <v>2.1954000000000002</v>
      </c>
      <c r="J89" t="str">
        <f t="shared" si="3"/>
        <v>update evaluasi set tahun = 1, nilai_maks = 100, nilai_input=73.18, bobot = 3, nilai_akhir = 2.1954, id_indikator = 'C020250214' where id_evaluasi = '20250002_C020250303';</v>
      </c>
      <c r="K89" s="14"/>
      <c r="P89" s="12"/>
      <c r="Q89" s="12"/>
      <c r="U89" s="13"/>
      <c r="V89" s="13"/>
    </row>
    <row r="90" spans="1:22" hidden="1" x14ac:dyDescent="0.35">
      <c r="A90" t="s">
        <v>181</v>
      </c>
      <c r="B90" t="s">
        <v>179</v>
      </c>
      <c r="C90" t="s">
        <v>63</v>
      </c>
      <c r="D90" t="s">
        <v>64</v>
      </c>
      <c r="E90" s="1">
        <v>1</v>
      </c>
      <c r="F90" s="1">
        <f>VLOOKUP(C90,m_indikator!$A$2:$F$30,5,TRUE)</f>
        <v>100</v>
      </c>
      <c r="G90" s="15">
        <v>76.38</v>
      </c>
      <c r="H90" s="1">
        <f>VLOOKUP(C90,m_indikator!$A$2:$F$30,6,TRUE)</f>
        <v>3</v>
      </c>
      <c r="I90" s="15">
        <f t="shared" si="2"/>
        <v>2.2913999999999999</v>
      </c>
      <c r="J90" t="str">
        <f t="shared" si="3"/>
        <v>update evaluasi set tahun = 1, nilai_maks = 100, nilai_input=76.38, bobot = 3, nilai_akhir = 2.2914, id_indikator = 'C020250214' where id_evaluasi = '20250003_C020250303';</v>
      </c>
      <c r="K90" s="14"/>
      <c r="P90" s="12"/>
      <c r="Q90" s="12"/>
      <c r="U90" s="13"/>
      <c r="V90" s="13"/>
    </row>
    <row r="91" spans="1:22" hidden="1" x14ac:dyDescent="0.35">
      <c r="A91" t="s">
        <v>182</v>
      </c>
      <c r="B91" t="s">
        <v>179</v>
      </c>
      <c r="C91" t="s">
        <v>63</v>
      </c>
      <c r="D91" t="s">
        <v>64</v>
      </c>
      <c r="E91" s="1">
        <v>1</v>
      </c>
      <c r="F91" s="1">
        <f>VLOOKUP(C91,m_indikator!$A$2:$F$30,5,TRUE)</f>
        <v>100</v>
      </c>
      <c r="G91" s="15">
        <v>87.78</v>
      </c>
      <c r="H91" s="1">
        <f>VLOOKUP(C91,m_indikator!$A$2:$F$30,6,TRUE)</f>
        <v>3</v>
      </c>
      <c r="I91" s="15">
        <f t="shared" si="2"/>
        <v>2.6334</v>
      </c>
      <c r="J91" t="str">
        <f t="shared" si="3"/>
        <v>update evaluasi set tahun = 1, nilai_maks = 100, nilai_input=87.78, bobot = 3, nilai_akhir = 2.6334, id_indikator = 'C020250214' where id_evaluasi = '20250004_C020250303';</v>
      </c>
      <c r="K91" s="14"/>
      <c r="P91" s="12"/>
      <c r="Q91" s="12"/>
      <c r="U91" s="13"/>
      <c r="V91" s="13"/>
    </row>
    <row r="92" spans="1:22" hidden="1" x14ac:dyDescent="0.35">
      <c r="A92" t="s">
        <v>183</v>
      </c>
      <c r="B92" t="s">
        <v>179</v>
      </c>
      <c r="C92" t="s">
        <v>63</v>
      </c>
      <c r="D92" t="s">
        <v>64</v>
      </c>
      <c r="E92" s="1">
        <v>1</v>
      </c>
      <c r="F92" s="1">
        <f>VLOOKUP(C92,m_indikator!$A$2:$F$30,5,TRUE)</f>
        <v>100</v>
      </c>
      <c r="G92" s="15">
        <v>72.89</v>
      </c>
      <c r="H92" s="1">
        <f>VLOOKUP(C92,m_indikator!$A$2:$F$30,6,TRUE)</f>
        <v>3</v>
      </c>
      <c r="I92" s="15">
        <f t="shared" si="2"/>
        <v>2.1867000000000001</v>
      </c>
      <c r="J92" t="str">
        <f t="shared" si="3"/>
        <v>update evaluasi set tahun = 1, nilai_maks = 100, nilai_input=72.89, bobot = 3, nilai_akhir = 2.1867, id_indikator = 'C020250214' where id_evaluasi = '20250005_C020250303';</v>
      </c>
      <c r="K92" s="14"/>
      <c r="P92" s="12"/>
      <c r="Q92" s="12"/>
      <c r="U92" s="13"/>
      <c r="V92" s="13"/>
    </row>
    <row r="93" spans="1:22" hidden="1" x14ac:dyDescent="0.35">
      <c r="A93" t="s">
        <v>184</v>
      </c>
      <c r="B93" t="s">
        <v>179</v>
      </c>
      <c r="C93" t="s">
        <v>63</v>
      </c>
      <c r="D93" t="s">
        <v>64</v>
      </c>
      <c r="E93" s="1">
        <v>1</v>
      </c>
      <c r="F93" s="1">
        <f>VLOOKUP(C93,m_indikator!$A$2:$F$30,5,TRUE)</f>
        <v>100</v>
      </c>
      <c r="G93" s="15">
        <v>86.11</v>
      </c>
      <c r="H93" s="1">
        <f>VLOOKUP(C93,m_indikator!$A$2:$F$30,6,TRUE)</f>
        <v>3</v>
      </c>
      <c r="I93" s="15">
        <f t="shared" si="2"/>
        <v>2.5832999999999999</v>
      </c>
      <c r="J93" t="str">
        <f t="shared" si="3"/>
        <v>update evaluasi set tahun = 1, nilai_maks = 100, nilai_input=86.11, bobot = 3, nilai_akhir = 2.5833, id_indikator = 'C020250214' where id_evaluasi = '20250006_C020250303';</v>
      </c>
      <c r="K93" s="14"/>
      <c r="P93" s="12"/>
      <c r="Q93" s="12"/>
      <c r="U93" s="13"/>
      <c r="V93" s="13"/>
    </row>
    <row r="94" spans="1:22" hidden="1" x14ac:dyDescent="0.35">
      <c r="A94" t="s">
        <v>185</v>
      </c>
      <c r="B94" t="s">
        <v>179</v>
      </c>
      <c r="C94" t="s">
        <v>63</v>
      </c>
      <c r="D94" t="s">
        <v>64</v>
      </c>
      <c r="E94" s="1">
        <v>1</v>
      </c>
      <c r="F94" s="1">
        <f>VLOOKUP(C94,m_indikator!$A$2:$F$30,5,TRUE)</f>
        <v>100</v>
      </c>
      <c r="G94" s="15">
        <v>91.96</v>
      </c>
      <c r="H94" s="1">
        <f>VLOOKUP(C94,m_indikator!$A$2:$F$30,6,TRUE)</f>
        <v>3</v>
      </c>
      <c r="I94" s="15">
        <f t="shared" si="2"/>
        <v>2.7587999999999999</v>
      </c>
      <c r="J94" t="str">
        <f t="shared" si="3"/>
        <v>update evaluasi set tahun = 1, nilai_maks = 100, nilai_input=91.96, bobot = 3, nilai_akhir = 2.7588, id_indikator = 'C020250214' where id_evaluasi = '20250007_C020250303';</v>
      </c>
      <c r="K94" s="14"/>
      <c r="P94" s="12"/>
      <c r="Q94" s="12"/>
      <c r="U94" s="13"/>
      <c r="V94" s="13"/>
    </row>
    <row r="95" spans="1:22" hidden="1" x14ac:dyDescent="0.35">
      <c r="A95" t="s">
        <v>186</v>
      </c>
      <c r="B95" t="s">
        <v>179</v>
      </c>
      <c r="C95" t="s">
        <v>63</v>
      </c>
      <c r="D95" t="s">
        <v>64</v>
      </c>
      <c r="E95" s="1">
        <v>1</v>
      </c>
      <c r="F95" s="1">
        <f>VLOOKUP(C95,m_indikator!$A$2:$F$30,5,TRUE)</f>
        <v>100</v>
      </c>
      <c r="G95" s="15">
        <v>85.37</v>
      </c>
      <c r="H95" s="1">
        <f>VLOOKUP(C95,m_indikator!$A$2:$F$30,6,TRUE)</f>
        <v>3</v>
      </c>
      <c r="I95" s="15">
        <f t="shared" si="2"/>
        <v>2.5611000000000002</v>
      </c>
      <c r="J95" t="str">
        <f t="shared" si="3"/>
        <v>update evaluasi set tahun = 1, nilai_maks = 100, nilai_input=85.37, bobot = 3, nilai_akhir = 2.5611, id_indikator = 'C020250214' where id_evaluasi = '20250008_C020250303';</v>
      </c>
      <c r="K95" s="14"/>
      <c r="P95" s="12"/>
      <c r="Q95" s="12"/>
      <c r="U95" s="13"/>
      <c r="V95" s="13"/>
    </row>
    <row r="96" spans="1:22" hidden="1" x14ac:dyDescent="0.35">
      <c r="A96" t="s">
        <v>187</v>
      </c>
      <c r="B96" t="s">
        <v>179</v>
      </c>
      <c r="C96" t="s">
        <v>63</v>
      </c>
      <c r="D96" t="s">
        <v>64</v>
      </c>
      <c r="E96" s="1">
        <v>1</v>
      </c>
      <c r="F96" s="1">
        <f>VLOOKUP(C96,m_indikator!$A$2:$F$30,5,TRUE)</f>
        <v>100</v>
      </c>
      <c r="G96" s="15">
        <v>71.94</v>
      </c>
      <c r="H96" s="1">
        <f>VLOOKUP(C96,m_indikator!$A$2:$F$30,6,TRUE)</f>
        <v>3</v>
      </c>
      <c r="I96" s="15">
        <f t="shared" si="2"/>
        <v>2.1581999999999999</v>
      </c>
      <c r="J96" t="str">
        <f t="shared" si="3"/>
        <v>update evaluasi set tahun = 1, nilai_maks = 100, nilai_input=71.94, bobot = 3, nilai_akhir = 2.1582, id_indikator = 'C020250214' where id_evaluasi = '20250009_C020250303';</v>
      </c>
      <c r="K96" s="14"/>
      <c r="P96" s="12"/>
      <c r="Q96" s="12"/>
      <c r="U96" s="13"/>
      <c r="V96" s="13"/>
    </row>
    <row r="97" spans="1:22" hidden="1" x14ac:dyDescent="0.35">
      <c r="A97" t="s">
        <v>188</v>
      </c>
      <c r="B97" t="s">
        <v>179</v>
      </c>
      <c r="C97" t="s">
        <v>63</v>
      </c>
      <c r="D97" t="s">
        <v>64</v>
      </c>
      <c r="E97" s="1">
        <v>1</v>
      </c>
      <c r="F97" s="1">
        <f>VLOOKUP(C97,m_indikator!$A$2:$F$30,5,TRUE)</f>
        <v>100</v>
      </c>
      <c r="G97" s="15">
        <v>78.099999999999994</v>
      </c>
      <c r="H97" s="1">
        <f>VLOOKUP(C97,m_indikator!$A$2:$F$30,6,TRUE)</f>
        <v>3</v>
      </c>
      <c r="I97" s="15">
        <f t="shared" si="2"/>
        <v>2.343</v>
      </c>
      <c r="J97" t="str">
        <f t="shared" si="3"/>
        <v>update evaluasi set tahun = 1, nilai_maks = 100, nilai_input=78.1, bobot = 3, nilai_akhir = 2.343, id_indikator = 'C020250214' where id_evaluasi = '20250010_C020250303';</v>
      </c>
      <c r="K97" s="14"/>
      <c r="P97" s="12"/>
      <c r="Q97" s="12"/>
      <c r="U97" s="13"/>
      <c r="V97" s="13"/>
    </row>
    <row r="98" spans="1:22" hidden="1" x14ac:dyDescent="0.35">
      <c r="A98" t="s">
        <v>189</v>
      </c>
      <c r="B98" t="s">
        <v>179</v>
      </c>
      <c r="C98" t="s">
        <v>63</v>
      </c>
      <c r="D98" t="s">
        <v>64</v>
      </c>
      <c r="E98" s="1">
        <v>1</v>
      </c>
      <c r="F98" s="1">
        <f>VLOOKUP(C98,m_indikator!$A$2:$F$30,5,TRUE)</f>
        <v>100</v>
      </c>
      <c r="G98" s="15">
        <v>82.31</v>
      </c>
      <c r="H98" s="1">
        <f>VLOOKUP(C98,m_indikator!$A$2:$F$30,6,TRUE)</f>
        <v>3</v>
      </c>
      <c r="I98" s="15">
        <f t="shared" si="2"/>
        <v>2.4693000000000001</v>
      </c>
      <c r="J98" t="str">
        <f t="shared" si="3"/>
        <v>update evaluasi set tahun = 1, nilai_maks = 100, nilai_input=82.31, bobot = 3, nilai_akhir = 2.4693, id_indikator = 'C020250214' where id_evaluasi = '20250011_C020250303';</v>
      </c>
      <c r="K98" s="14"/>
      <c r="P98" s="12"/>
      <c r="Q98" s="12"/>
      <c r="U98" s="13"/>
      <c r="V98" s="13"/>
    </row>
    <row r="99" spans="1:22" hidden="1" x14ac:dyDescent="0.35">
      <c r="A99" t="s">
        <v>190</v>
      </c>
      <c r="B99" t="s">
        <v>179</v>
      </c>
      <c r="C99" t="s">
        <v>63</v>
      </c>
      <c r="D99" t="s">
        <v>64</v>
      </c>
      <c r="E99" s="1">
        <v>1</v>
      </c>
      <c r="F99" s="1">
        <f>VLOOKUP(C99,m_indikator!$A$2:$F$30,5,TRUE)</f>
        <v>100</v>
      </c>
      <c r="G99" s="15">
        <v>93.08</v>
      </c>
      <c r="H99" s="1">
        <f>VLOOKUP(C99,m_indikator!$A$2:$F$30,6,TRUE)</f>
        <v>3</v>
      </c>
      <c r="I99" s="15">
        <f t="shared" si="2"/>
        <v>2.7923999999999998</v>
      </c>
      <c r="J99" t="str">
        <f t="shared" si="3"/>
        <v>update evaluasi set tahun = 1, nilai_maks = 100, nilai_input=93.08, bobot = 3, nilai_akhir = 2.7924, id_indikator = 'C020250214' where id_evaluasi = '20250012_C020250303';</v>
      </c>
      <c r="K99" s="14"/>
      <c r="P99" s="12"/>
      <c r="Q99" s="12"/>
      <c r="U99" s="13"/>
      <c r="V99" s="13"/>
    </row>
    <row r="100" spans="1:22" hidden="1" x14ac:dyDescent="0.35">
      <c r="A100" t="s">
        <v>191</v>
      </c>
      <c r="B100" t="s">
        <v>179</v>
      </c>
      <c r="C100" t="s">
        <v>63</v>
      </c>
      <c r="D100" t="s">
        <v>64</v>
      </c>
      <c r="E100" s="1">
        <v>1</v>
      </c>
      <c r="F100" s="1">
        <f>VLOOKUP(C100,m_indikator!$A$2:$F$30,5,TRUE)</f>
        <v>100</v>
      </c>
      <c r="G100" s="15">
        <v>70.08</v>
      </c>
      <c r="H100" s="1">
        <f>VLOOKUP(C100,m_indikator!$A$2:$F$30,6,TRUE)</f>
        <v>3</v>
      </c>
      <c r="I100" s="15">
        <f t="shared" si="2"/>
        <v>2.1023999999999998</v>
      </c>
      <c r="J100" t="str">
        <f t="shared" si="3"/>
        <v>update evaluasi set tahun = 1, nilai_maks = 100, nilai_input=70.08, bobot = 3, nilai_akhir = 2.1024, id_indikator = 'C020250214' where id_evaluasi = '20250013_C020250303';</v>
      </c>
      <c r="K100" s="14"/>
      <c r="P100" s="12"/>
      <c r="Q100" s="12"/>
      <c r="U100" s="13"/>
      <c r="V100" s="13"/>
    </row>
    <row r="101" spans="1:22" hidden="1" x14ac:dyDescent="0.35">
      <c r="A101" t="s">
        <v>192</v>
      </c>
      <c r="B101" t="s">
        <v>179</v>
      </c>
      <c r="C101" t="s">
        <v>63</v>
      </c>
      <c r="D101" t="s">
        <v>64</v>
      </c>
      <c r="E101" s="1">
        <v>1</v>
      </c>
      <c r="F101" s="1">
        <f>VLOOKUP(C101,m_indikator!$A$2:$F$30,5,TRUE)</f>
        <v>100</v>
      </c>
      <c r="G101" s="15">
        <v>70.62</v>
      </c>
      <c r="H101" s="1">
        <f>VLOOKUP(C101,m_indikator!$A$2:$F$30,6,TRUE)</f>
        <v>3</v>
      </c>
      <c r="I101" s="15">
        <f t="shared" si="2"/>
        <v>2.1186000000000003</v>
      </c>
      <c r="J101" t="str">
        <f t="shared" si="3"/>
        <v>update evaluasi set tahun = 1, nilai_maks = 100, nilai_input=70.62, bobot = 3, nilai_akhir = 2.1186, id_indikator = 'C020250214' where id_evaluasi = '20250014_C020250303';</v>
      </c>
      <c r="K101" s="14"/>
      <c r="P101" s="12"/>
      <c r="Q101" s="12"/>
      <c r="U101" s="13"/>
      <c r="V101" s="13"/>
    </row>
    <row r="102" spans="1:22" hidden="1" x14ac:dyDescent="0.35">
      <c r="A102" t="s">
        <v>193</v>
      </c>
      <c r="B102" t="s">
        <v>179</v>
      </c>
      <c r="C102" t="s">
        <v>63</v>
      </c>
      <c r="D102" t="s">
        <v>64</v>
      </c>
      <c r="E102" s="1">
        <v>1</v>
      </c>
      <c r="F102" s="1">
        <f>VLOOKUP(C102,m_indikator!$A$2:$F$30,5,TRUE)</f>
        <v>100</v>
      </c>
      <c r="G102" s="15">
        <v>85.45</v>
      </c>
      <c r="H102" s="1">
        <f>VLOOKUP(C102,m_indikator!$A$2:$F$30,6,TRUE)</f>
        <v>3</v>
      </c>
      <c r="I102" s="15">
        <f t="shared" si="2"/>
        <v>2.5635000000000003</v>
      </c>
      <c r="J102" t="str">
        <f t="shared" si="3"/>
        <v>update evaluasi set tahun = 1, nilai_maks = 100, nilai_input=85.45, bobot = 3, nilai_akhir = 2.5635, id_indikator = 'C020250214' where id_evaluasi = '20250015_C020250303';</v>
      </c>
      <c r="K102" s="14"/>
      <c r="P102" s="12"/>
      <c r="Q102" s="12"/>
      <c r="U102" s="13"/>
      <c r="V102" s="13"/>
    </row>
    <row r="103" spans="1:22" hidden="1" x14ac:dyDescent="0.35">
      <c r="A103" t="s">
        <v>194</v>
      </c>
      <c r="B103" t="s">
        <v>179</v>
      </c>
      <c r="C103" t="s">
        <v>63</v>
      </c>
      <c r="D103" t="s">
        <v>64</v>
      </c>
      <c r="E103" s="1">
        <v>1</v>
      </c>
      <c r="F103" s="1">
        <f>VLOOKUP(C103,m_indikator!$A$2:$F$30,5,TRUE)</f>
        <v>100</v>
      </c>
      <c r="G103" s="15">
        <v>91.4</v>
      </c>
      <c r="H103" s="1">
        <f>VLOOKUP(C103,m_indikator!$A$2:$F$30,6,TRUE)</f>
        <v>3</v>
      </c>
      <c r="I103" s="15">
        <f t="shared" si="2"/>
        <v>2.742</v>
      </c>
      <c r="J103" t="str">
        <f t="shared" si="3"/>
        <v>update evaluasi set tahun = 1, nilai_maks = 100, nilai_input=91.4, bobot = 3, nilai_akhir = 2.742, id_indikator = 'C020250214' where id_evaluasi = '20250016_C020250303';</v>
      </c>
      <c r="K103" s="14"/>
      <c r="P103" s="12"/>
      <c r="Q103" s="12"/>
      <c r="U103" s="13"/>
      <c r="V103" s="13"/>
    </row>
    <row r="104" spans="1:22" hidden="1" x14ac:dyDescent="0.35">
      <c r="A104" t="s">
        <v>195</v>
      </c>
      <c r="B104" t="s">
        <v>179</v>
      </c>
      <c r="C104" t="s">
        <v>63</v>
      </c>
      <c r="D104" t="s">
        <v>64</v>
      </c>
      <c r="E104" s="1">
        <v>1</v>
      </c>
      <c r="F104" s="1">
        <f>VLOOKUP(C104,m_indikator!$A$2:$F$30,5,TRUE)</f>
        <v>100</v>
      </c>
      <c r="G104" s="15">
        <v>93.75</v>
      </c>
      <c r="H104" s="1">
        <f>VLOOKUP(C104,m_indikator!$A$2:$F$30,6,TRUE)</f>
        <v>3</v>
      </c>
      <c r="I104" s="15">
        <f t="shared" si="2"/>
        <v>2.8125</v>
      </c>
      <c r="J104" t="str">
        <f t="shared" si="3"/>
        <v>update evaluasi set tahun = 1, nilai_maks = 100, nilai_input=93.75, bobot = 3, nilai_akhir = 2.8125, id_indikator = 'C020250214' where id_evaluasi = '20250017_C020250303';</v>
      </c>
      <c r="K104" s="14"/>
      <c r="P104" s="12"/>
      <c r="Q104" s="12"/>
      <c r="U104" s="13"/>
      <c r="V104" s="13"/>
    </row>
    <row r="105" spans="1:22" hidden="1" x14ac:dyDescent="0.35">
      <c r="A105" t="s">
        <v>196</v>
      </c>
      <c r="B105" t="s">
        <v>179</v>
      </c>
      <c r="C105" t="s">
        <v>63</v>
      </c>
      <c r="D105" t="s">
        <v>64</v>
      </c>
      <c r="E105" s="1">
        <v>1</v>
      </c>
      <c r="F105" s="1">
        <f>VLOOKUP(C105,m_indikator!$A$2:$F$30,5,TRUE)</f>
        <v>100</v>
      </c>
      <c r="G105" s="15">
        <v>96.53</v>
      </c>
      <c r="H105" s="1">
        <f>VLOOKUP(C105,m_indikator!$A$2:$F$30,6,TRUE)</f>
        <v>3</v>
      </c>
      <c r="I105" s="15">
        <f t="shared" si="2"/>
        <v>2.8959000000000001</v>
      </c>
      <c r="J105" t="str">
        <f t="shared" si="3"/>
        <v>update evaluasi set tahun = 1, nilai_maks = 100, nilai_input=96.53, bobot = 3, nilai_akhir = 2.8959, id_indikator = 'C020250214' where id_evaluasi = '20250018_C020250303';</v>
      </c>
      <c r="K105" s="14"/>
      <c r="P105" s="12"/>
      <c r="Q105" s="12"/>
      <c r="U105" s="13"/>
      <c r="V105" s="13"/>
    </row>
    <row r="106" spans="1:22" hidden="1" x14ac:dyDescent="0.35">
      <c r="A106" t="s">
        <v>197</v>
      </c>
      <c r="B106" t="s">
        <v>179</v>
      </c>
      <c r="C106" t="s">
        <v>63</v>
      </c>
      <c r="D106" t="s">
        <v>64</v>
      </c>
      <c r="E106" s="1">
        <v>1</v>
      </c>
      <c r="F106" s="1">
        <f>VLOOKUP(C106,m_indikator!$A$2:$F$30,5,TRUE)</f>
        <v>100</v>
      </c>
      <c r="G106" s="15">
        <v>88.37</v>
      </c>
      <c r="H106" s="1">
        <f>VLOOKUP(C106,m_indikator!$A$2:$F$30,6,TRUE)</f>
        <v>3</v>
      </c>
      <c r="I106" s="15">
        <f t="shared" si="2"/>
        <v>2.6511</v>
      </c>
      <c r="J106" t="str">
        <f t="shared" si="3"/>
        <v>update evaluasi set tahun = 1, nilai_maks = 100, nilai_input=88.37, bobot = 3, nilai_akhir = 2.6511, id_indikator = 'C020250214' where id_evaluasi = '20250019_C020250303';</v>
      </c>
      <c r="K106" s="14"/>
      <c r="P106" s="12"/>
      <c r="Q106" s="12"/>
      <c r="U106" s="13"/>
      <c r="V106" s="13"/>
    </row>
    <row r="107" spans="1:22" hidden="1" x14ac:dyDescent="0.35">
      <c r="A107" t="s">
        <v>198</v>
      </c>
      <c r="B107" t="s">
        <v>179</v>
      </c>
      <c r="C107" t="s">
        <v>63</v>
      </c>
      <c r="D107" t="s">
        <v>64</v>
      </c>
      <c r="E107" s="1">
        <v>1</v>
      </c>
      <c r="F107" s="1">
        <f>VLOOKUP(C107,m_indikator!$A$2:$F$30,5,TRUE)</f>
        <v>100</v>
      </c>
      <c r="G107" s="15">
        <v>96.12</v>
      </c>
      <c r="H107" s="1">
        <f>VLOOKUP(C107,m_indikator!$A$2:$F$30,6,TRUE)</f>
        <v>3</v>
      </c>
      <c r="I107" s="15">
        <f t="shared" si="2"/>
        <v>2.8836000000000004</v>
      </c>
      <c r="J107" t="str">
        <f t="shared" si="3"/>
        <v>update evaluasi set tahun = 1, nilai_maks = 100, nilai_input=96.12, bobot = 3, nilai_akhir = 2.8836, id_indikator = 'C020250214' where id_evaluasi = '20250020_C020250303';</v>
      </c>
      <c r="K107" s="14"/>
      <c r="P107" s="12"/>
      <c r="Q107" s="12"/>
      <c r="U107" s="13"/>
      <c r="V107" s="13"/>
    </row>
    <row r="108" spans="1:22" hidden="1" x14ac:dyDescent="0.35">
      <c r="A108" t="s">
        <v>199</v>
      </c>
      <c r="B108" t="s">
        <v>179</v>
      </c>
      <c r="C108" t="s">
        <v>63</v>
      </c>
      <c r="D108" t="s">
        <v>64</v>
      </c>
      <c r="E108" s="1">
        <v>1</v>
      </c>
      <c r="F108" s="1">
        <f>VLOOKUP(C108,m_indikator!$A$2:$F$30,5,TRUE)</f>
        <v>100</v>
      </c>
      <c r="G108" s="15">
        <v>93.83</v>
      </c>
      <c r="H108" s="1">
        <f>VLOOKUP(C108,m_indikator!$A$2:$F$30,6,TRUE)</f>
        <v>3</v>
      </c>
      <c r="I108" s="15">
        <f t="shared" si="2"/>
        <v>2.8149000000000002</v>
      </c>
      <c r="J108" t="str">
        <f t="shared" si="3"/>
        <v>update evaluasi set tahun = 1, nilai_maks = 100, nilai_input=93.83, bobot = 3, nilai_akhir = 2.8149, id_indikator = 'C020250214' where id_evaluasi = '20250021_C020250303';</v>
      </c>
      <c r="K108" s="14"/>
      <c r="P108" s="12"/>
      <c r="Q108" s="12"/>
      <c r="U108" s="13"/>
      <c r="V108" s="13"/>
    </row>
    <row r="109" spans="1:22" hidden="1" x14ac:dyDescent="0.35">
      <c r="A109" t="s">
        <v>200</v>
      </c>
      <c r="B109" t="s">
        <v>179</v>
      </c>
      <c r="C109" t="s">
        <v>63</v>
      </c>
      <c r="D109" t="s">
        <v>64</v>
      </c>
      <c r="E109" s="1">
        <v>1</v>
      </c>
      <c r="F109" s="1">
        <f>VLOOKUP(C109,m_indikator!$A$2:$F$30,5,TRUE)</f>
        <v>100</v>
      </c>
      <c r="G109" s="15">
        <v>94.42</v>
      </c>
      <c r="H109" s="1">
        <f>VLOOKUP(C109,m_indikator!$A$2:$F$30,6,TRUE)</f>
        <v>3</v>
      </c>
      <c r="I109" s="15">
        <f t="shared" si="2"/>
        <v>2.8326000000000002</v>
      </c>
      <c r="J109" t="str">
        <f t="shared" si="3"/>
        <v>update evaluasi set tahun = 1, nilai_maks = 100, nilai_input=94.42, bobot = 3, nilai_akhir = 2.8326, id_indikator = 'C020250214' where id_evaluasi = '20250022_C020250303';</v>
      </c>
      <c r="K109" s="14"/>
      <c r="P109" s="12"/>
      <c r="Q109" s="12"/>
      <c r="U109" s="13"/>
      <c r="V109" s="13"/>
    </row>
    <row r="110" spans="1:22" hidden="1" x14ac:dyDescent="0.35">
      <c r="A110" t="s">
        <v>201</v>
      </c>
      <c r="B110" t="s">
        <v>179</v>
      </c>
      <c r="C110" t="s">
        <v>63</v>
      </c>
      <c r="D110" t="s">
        <v>64</v>
      </c>
      <c r="E110" s="1">
        <v>1</v>
      </c>
      <c r="F110" s="1">
        <f>VLOOKUP(C110,m_indikator!$A$2:$F$30,5,TRUE)</f>
        <v>100</v>
      </c>
      <c r="G110" s="15">
        <v>78.42</v>
      </c>
      <c r="H110" s="1">
        <f>VLOOKUP(C110,m_indikator!$A$2:$F$30,6,TRUE)</f>
        <v>3</v>
      </c>
      <c r="I110" s="15">
        <f t="shared" si="2"/>
        <v>2.3525999999999998</v>
      </c>
      <c r="J110" t="str">
        <f t="shared" si="3"/>
        <v>update evaluasi set tahun = 1, nilai_maks = 100, nilai_input=78.42, bobot = 3, nilai_akhir = 2.3526, id_indikator = 'C020250214' where id_evaluasi = '20250023_C020250303';</v>
      </c>
      <c r="K110" s="14"/>
      <c r="P110" s="12"/>
      <c r="Q110" s="12"/>
      <c r="U110" s="13"/>
      <c r="V110" s="13"/>
    </row>
    <row r="111" spans="1:22" hidden="1" x14ac:dyDescent="0.35">
      <c r="A111" t="s">
        <v>202</v>
      </c>
      <c r="B111" t="s">
        <v>179</v>
      </c>
      <c r="C111" t="s">
        <v>63</v>
      </c>
      <c r="D111" t="s">
        <v>64</v>
      </c>
      <c r="E111" s="1">
        <v>1</v>
      </c>
      <c r="F111" s="1">
        <f>VLOOKUP(C111,m_indikator!$A$2:$F$30,5,TRUE)</f>
        <v>100</v>
      </c>
      <c r="G111" s="15">
        <v>91.9</v>
      </c>
      <c r="H111" s="1">
        <f>VLOOKUP(C111,m_indikator!$A$2:$F$30,6,TRUE)</f>
        <v>3</v>
      </c>
      <c r="I111" s="15">
        <f t="shared" si="2"/>
        <v>2.7570000000000001</v>
      </c>
      <c r="J111" t="str">
        <f t="shared" si="3"/>
        <v>update evaluasi set tahun = 1, nilai_maks = 100, nilai_input=91.9, bobot = 3, nilai_akhir = 2.757, id_indikator = 'C020250214' where id_evaluasi = '20250024_C020250303';</v>
      </c>
      <c r="K111" s="14"/>
      <c r="P111" s="12"/>
      <c r="Q111" s="12"/>
      <c r="U111" s="13"/>
      <c r="V111" s="13"/>
    </row>
    <row r="112" spans="1:22" hidden="1" x14ac:dyDescent="0.35">
      <c r="A112" t="s">
        <v>203</v>
      </c>
      <c r="B112" t="s">
        <v>179</v>
      </c>
      <c r="C112" t="s">
        <v>63</v>
      </c>
      <c r="D112" t="s">
        <v>64</v>
      </c>
      <c r="E112" s="1">
        <v>1</v>
      </c>
      <c r="F112" s="1">
        <f>VLOOKUP(C112,m_indikator!$A$2:$F$30,5,TRUE)</f>
        <v>100</v>
      </c>
      <c r="G112" s="15">
        <v>85.96</v>
      </c>
      <c r="H112" s="1">
        <f>VLOOKUP(C112,m_indikator!$A$2:$F$30,6,TRUE)</f>
        <v>3</v>
      </c>
      <c r="I112" s="15">
        <f t="shared" si="2"/>
        <v>2.5787999999999998</v>
      </c>
      <c r="J112" t="str">
        <f t="shared" si="3"/>
        <v>update evaluasi set tahun = 1, nilai_maks = 100, nilai_input=85.96, bobot = 3, nilai_akhir = 2.5788, id_indikator = 'C020250214' where id_evaluasi = '20250025_C020250303';</v>
      </c>
      <c r="K112" s="14"/>
      <c r="P112" s="12"/>
      <c r="Q112" s="12"/>
      <c r="U112" s="13"/>
      <c r="V112" s="13"/>
    </row>
    <row r="113" spans="1:22" hidden="1" x14ac:dyDescent="0.35">
      <c r="A113" t="s">
        <v>204</v>
      </c>
      <c r="B113" t="s">
        <v>179</v>
      </c>
      <c r="C113" t="s">
        <v>63</v>
      </c>
      <c r="D113" t="s">
        <v>64</v>
      </c>
      <c r="E113" s="1">
        <v>1</v>
      </c>
      <c r="F113" s="1">
        <f>VLOOKUP(C113,m_indikator!$A$2:$F$30,5,TRUE)</f>
        <v>100</v>
      </c>
      <c r="G113" s="15">
        <v>73.23</v>
      </c>
      <c r="H113" s="1">
        <f>VLOOKUP(C113,m_indikator!$A$2:$F$30,6,TRUE)</f>
        <v>3</v>
      </c>
      <c r="I113" s="15">
        <f t="shared" si="2"/>
        <v>2.1969000000000003</v>
      </c>
      <c r="J113" t="str">
        <f t="shared" si="3"/>
        <v>update evaluasi set tahun = 1, nilai_maks = 100, nilai_input=73.23, bobot = 3, nilai_akhir = 2.1969, id_indikator = 'C020250214' where id_evaluasi = '20250026_C020250303';</v>
      </c>
      <c r="K113" s="14"/>
      <c r="P113" s="12"/>
      <c r="Q113" s="12"/>
      <c r="U113" s="13"/>
      <c r="V113" s="13"/>
    </row>
    <row r="114" spans="1:22" hidden="1" x14ac:dyDescent="0.35">
      <c r="A114" t="s">
        <v>205</v>
      </c>
      <c r="B114" t="s">
        <v>179</v>
      </c>
      <c r="C114" t="s">
        <v>63</v>
      </c>
      <c r="D114" t="s">
        <v>64</v>
      </c>
      <c r="E114" s="1">
        <v>1</v>
      </c>
      <c r="F114" s="1">
        <f>VLOOKUP(C114,m_indikator!$A$2:$F$30,5,TRUE)</f>
        <v>100</v>
      </c>
      <c r="G114" s="15">
        <v>91.74</v>
      </c>
      <c r="H114" s="1">
        <f>VLOOKUP(C114,m_indikator!$A$2:$F$30,6,TRUE)</f>
        <v>3</v>
      </c>
      <c r="I114" s="15">
        <f t="shared" si="2"/>
        <v>2.7522000000000002</v>
      </c>
      <c r="J114" t="str">
        <f t="shared" si="3"/>
        <v>update evaluasi set tahun = 1, nilai_maks = 100, nilai_input=91.74, bobot = 3, nilai_akhir = 2.7522, id_indikator = 'C020250214' where id_evaluasi = '20250027_C020250303';</v>
      </c>
      <c r="K114" s="14"/>
      <c r="P114" s="12"/>
      <c r="Q114" s="12"/>
      <c r="U114" s="13"/>
      <c r="V114" s="13"/>
    </row>
    <row r="115" spans="1:22" hidden="1" x14ac:dyDescent="0.35">
      <c r="A115" t="s">
        <v>206</v>
      </c>
      <c r="B115" t="s">
        <v>179</v>
      </c>
      <c r="C115" t="s">
        <v>63</v>
      </c>
      <c r="D115" t="s">
        <v>64</v>
      </c>
      <c r="E115" s="1">
        <v>1</v>
      </c>
      <c r="F115" s="1">
        <f>VLOOKUP(C115,m_indikator!$A$2:$F$30,5,TRUE)</f>
        <v>100</v>
      </c>
      <c r="G115" s="15">
        <v>91.61</v>
      </c>
      <c r="H115" s="1">
        <f>VLOOKUP(C115,m_indikator!$A$2:$F$30,6,TRUE)</f>
        <v>3</v>
      </c>
      <c r="I115" s="15">
        <f t="shared" si="2"/>
        <v>2.7483</v>
      </c>
      <c r="J115" t="str">
        <f t="shared" si="3"/>
        <v>update evaluasi set tahun = 1, nilai_maks = 100, nilai_input=91.61, bobot = 3, nilai_akhir = 2.7483, id_indikator = 'C020250214' where id_evaluasi = '20250028_C020250303';</v>
      </c>
      <c r="K115" s="14"/>
      <c r="P115" s="12"/>
      <c r="Q115" s="12"/>
      <c r="U115" s="13"/>
      <c r="V115" s="13"/>
    </row>
    <row r="116" spans="1:22" hidden="1" x14ac:dyDescent="0.35">
      <c r="A116" t="s">
        <v>207</v>
      </c>
      <c r="B116" t="s">
        <v>179</v>
      </c>
      <c r="C116" t="s">
        <v>63</v>
      </c>
      <c r="D116" t="s">
        <v>64</v>
      </c>
      <c r="E116" s="1">
        <v>1</v>
      </c>
      <c r="F116" s="1">
        <f>VLOOKUP(C116,m_indikator!$A$2:$F$30,5,TRUE)</f>
        <v>100</v>
      </c>
      <c r="G116" s="15">
        <v>80.58</v>
      </c>
      <c r="H116" s="1">
        <f>VLOOKUP(C116,m_indikator!$A$2:$F$30,6,TRUE)</f>
        <v>3</v>
      </c>
      <c r="I116" s="15">
        <f t="shared" si="2"/>
        <v>2.4173999999999998</v>
      </c>
      <c r="J116" t="str">
        <f t="shared" si="3"/>
        <v>update evaluasi set tahun = 1, nilai_maks = 100, nilai_input=80.58, bobot = 3, nilai_akhir = 2.4174, id_indikator = 'C020250214' where id_evaluasi = '20250029_C020250303';</v>
      </c>
      <c r="K116" s="14"/>
      <c r="P116" s="12"/>
      <c r="Q116" s="12"/>
      <c r="U116" s="13"/>
      <c r="V116" s="13"/>
    </row>
    <row r="117" spans="1:22" hidden="1" x14ac:dyDescent="0.35">
      <c r="A117" t="s">
        <v>208</v>
      </c>
      <c r="B117" t="s">
        <v>179</v>
      </c>
      <c r="C117" t="s">
        <v>63</v>
      </c>
      <c r="D117" t="s">
        <v>64</v>
      </c>
      <c r="E117" s="1">
        <v>1</v>
      </c>
      <c r="F117" s="1">
        <f>VLOOKUP(C117,m_indikator!$A$2:$F$30,5,TRUE)</f>
        <v>100</v>
      </c>
      <c r="G117" s="15">
        <v>81.02</v>
      </c>
      <c r="H117" s="1">
        <f>VLOOKUP(C117,m_indikator!$A$2:$F$30,6,TRUE)</f>
        <v>3</v>
      </c>
      <c r="I117" s="15">
        <f t="shared" si="2"/>
        <v>2.4305999999999996</v>
      </c>
      <c r="J117" t="str">
        <f t="shared" si="3"/>
        <v>update evaluasi set tahun = 1, nilai_maks = 100, nilai_input=81.02, bobot = 3, nilai_akhir = 2.4306, id_indikator = 'C020250214' where id_evaluasi = '20250030_C020250303';</v>
      </c>
      <c r="K117" s="14"/>
      <c r="P117" s="12"/>
      <c r="Q117" s="12"/>
      <c r="U117" s="13"/>
      <c r="V117" s="13"/>
    </row>
    <row r="118" spans="1:22" hidden="1" x14ac:dyDescent="0.35">
      <c r="A118" t="s">
        <v>209</v>
      </c>
      <c r="B118" t="s">
        <v>179</v>
      </c>
      <c r="C118" t="s">
        <v>63</v>
      </c>
      <c r="D118" t="s">
        <v>64</v>
      </c>
      <c r="E118" s="1">
        <v>1</v>
      </c>
      <c r="F118" s="1">
        <f>VLOOKUP(C118,m_indikator!$A$2:$F$30,5,TRUE)</f>
        <v>100</v>
      </c>
      <c r="G118" s="15">
        <v>97.64</v>
      </c>
      <c r="H118" s="1">
        <f>VLOOKUP(C118,m_indikator!$A$2:$F$30,6,TRUE)</f>
        <v>3</v>
      </c>
      <c r="I118" s="15">
        <f t="shared" si="2"/>
        <v>2.9292000000000002</v>
      </c>
      <c r="J118" t="str">
        <f t="shared" si="3"/>
        <v>update evaluasi set tahun = 1, nilai_maks = 100, nilai_input=97.64, bobot = 3, nilai_akhir = 2.9292, id_indikator = 'C020250214' where id_evaluasi = '20250031_C020250303';</v>
      </c>
      <c r="K118" s="14"/>
      <c r="P118" s="12"/>
      <c r="Q118" s="12"/>
      <c r="U118" s="13"/>
      <c r="V118" s="13"/>
    </row>
    <row r="119" spans="1:22" hidden="1" x14ac:dyDescent="0.35">
      <c r="A119" t="s">
        <v>210</v>
      </c>
      <c r="B119" t="s">
        <v>179</v>
      </c>
      <c r="C119" t="s">
        <v>63</v>
      </c>
      <c r="D119" t="s">
        <v>64</v>
      </c>
      <c r="E119" s="1">
        <v>1</v>
      </c>
      <c r="F119" s="1">
        <f>VLOOKUP(C119,m_indikator!$A$2:$F$30,5,TRUE)</f>
        <v>100</v>
      </c>
      <c r="G119" s="15">
        <v>72.010000000000005</v>
      </c>
      <c r="H119" s="1">
        <f>VLOOKUP(C119,m_indikator!$A$2:$F$30,6,TRUE)</f>
        <v>3</v>
      </c>
      <c r="I119" s="15">
        <f t="shared" si="2"/>
        <v>2.1603000000000003</v>
      </c>
      <c r="J119" t="str">
        <f t="shared" si="3"/>
        <v>update evaluasi set tahun = 1, nilai_maks = 100, nilai_input=72.01, bobot = 3, nilai_akhir = 2.1603, id_indikator = 'C020250214' where id_evaluasi = '20250032_C020250303';</v>
      </c>
      <c r="K119" s="14"/>
      <c r="P119" s="12"/>
      <c r="Q119" s="12"/>
      <c r="U119" s="13"/>
      <c r="V119" s="13"/>
    </row>
    <row r="120" spans="1:22" hidden="1" x14ac:dyDescent="0.35">
      <c r="A120" t="s">
        <v>211</v>
      </c>
      <c r="B120" t="s">
        <v>179</v>
      </c>
      <c r="C120" t="s">
        <v>63</v>
      </c>
      <c r="D120" t="s">
        <v>64</v>
      </c>
      <c r="E120" s="1">
        <v>1</v>
      </c>
      <c r="F120" s="1">
        <f>VLOOKUP(C120,m_indikator!$A$2:$F$30,5,TRUE)</f>
        <v>100</v>
      </c>
      <c r="G120" s="15">
        <v>70.900000000000006</v>
      </c>
      <c r="H120" s="1">
        <f>VLOOKUP(C120,m_indikator!$A$2:$F$30,6,TRUE)</f>
        <v>3</v>
      </c>
      <c r="I120" s="15">
        <f t="shared" si="2"/>
        <v>2.1270000000000002</v>
      </c>
      <c r="J120" t="str">
        <f t="shared" si="3"/>
        <v>update evaluasi set tahun = 1, nilai_maks = 100, nilai_input=70.9, bobot = 3, nilai_akhir = 2.127, id_indikator = 'C020250214' where id_evaluasi = '20250033_C020250303';</v>
      </c>
      <c r="K120" s="14"/>
      <c r="P120" s="12"/>
      <c r="Q120" s="12"/>
      <c r="U120" s="13"/>
      <c r="V120" s="13"/>
    </row>
    <row r="121" spans="1:22" hidden="1" x14ac:dyDescent="0.35">
      <c r="A121" t="s">
        <v>212</v>
      </c>
      <c r="B121" t="s">
        <v>179</v>
      </c>
      <c r="C121" t="s">
        <v>63</v>
      </c>
      <c r="D121" t="s">
        <v>64</v>
      </c>
      <c r="E121" s="1">
        <v>1</v>
      </c>
      <c r="F121" s="1">
        <f>VLOOKUP(C121,m_indikator!$A$2:$F$30,5,TRUE)</f>
        <v>100</v>
      </c>
      <c r="G121" s="15">
        <v>87.01</v>
      </c>
      <c r="H121" s="1">
        <f>VLOOKUP(C121,m_indikator!$A$2:$F$30,6,TRUE)</f>
        <v>3</v>
      </c>
      <c r="I121" s="15">
        <f t="shared" si="2"/>
        <v>2.6103000000000005</v>
      </c>
      <c r="J121" t="str">
        <f t="shared" si="3"/>
        <v>update evaluasi set tahun = 1, nilai_maks = 100, nilai_input=87.01, bobot = 3, nilai_akhir = 2.6103, id_indikator = 'C020250214' where id_evaluasi = '20250034_C020250303';</v>
      </c>
      <c r="K121" s="14"/>
      <c r="P121" s="12"/>
      <c r="Q121" s="12"/>
      <c r="U121" s="13"/>
      <c r="V121" s="13"/>
    </row>
    <row r="122" spans="1:22" hidden="1" x14ac:dyDescent="0.35">
      <c r="A122" t="s">
        <v>213</v>
      </c>
      <c r="B122" t="s">
        <v>179</v>
      </c>
      <c r="C122" t="s">
        <v>63</v>
      </c>
      <c r="D122" t="s">
        <v>64</v>
      </c>
      <c r="E122" s="1">
        <v>1</v>
      </c>
      <c r="F122" s="1">
        <f>VLOOKUP(C122,m_indikator!$A$2:$F$30,5,TRUE)</f>
        <v>100</v>
      </c>
      <c r="G122" s="15">
        <v>72.02</v>
      </c>
      <c r="H122" s="1">
        <f>VLOOKUP(C122,m_indikator!$A$2:$F$30,6,TRUE)</f>
        <v>3</v>
      </c>
      <c r="I122" s="15">
        <f t="shared" si="2"/>
        <v>2.1605999999999996</v>
      </c>
      <c r="J122" t="str">
        <f t="shared" si="3"/>
        <v>update evaluasi set tahun = 1, nilai_maks = 100, nilai_input=72.02, bobot = 3, nilai_akhir = 2.1606, id_indikator = 'C020250214' where id_evaluasi = '20250035_C020250303';</v>
      </c>
      <c r="K122" s="14"/>
      <c r="P122" s="12"/>
      <c r="Q122" s="12"/>
      <c r="U122" s="13"/>
      <c r="V122" s="13"/>
    </row>
    <row r="123" spans="1:22" hidden="1" x14ac:dyDescent="0.35">
      <c r="A123" t="s">
        <v>214</v>
      </c>
      <c r="B123" t="s">
        <v>179</v>
      </c>
      <c r="C123" t="s">
        <v>63</v>
      </c>
      <c r="D123" t="s">
        <v>64</v>
      </c>
      <c r="E123" s="1">
        <v>1</v>
      </c>
      <c r="F123" s="1">
        <f>VLOOKUP(C123,m_indikator!$A$2:$F$30,5,TRUE)</f>
        <v>100</v>
      </c>
      <c r="G123" s="15">
        <v>73.77</v>
      </c>
      <c r="H123" s="1">
        <f>VLOOKUP(C123,m_indikator!$A$2:$F$30,6,TRUE)</f>
        <v>3</v>
      </c>
      <c r="I123" s="15">
        <f t="shared" si="2"/>
        <v>2.2130999999999998</v>
      </c>
      <c r="J123" t="str">
        <f t="shared" si="3"/>
        <v>update evaluasi set tahun = 1, nilai_maks = 100, nilai_input=73.77, bobot = 3, nilai_akhir = 2.2131, id_indikator = 'C020250214' where id_evaluasi = '20250036_C020250303';</v>
      </c>
      <c r="K123" s="14"/>
      <c r="P123" s="12"/>
      <c r="Q123" s="12"/>
      <c r="U123" s="13"/>
      <c r="V123" s="13"/>
    </row>
    <row r="124" spans="1:22" hidden="1" x14ac:dyDescent="0.35">
      <c r="A124" t="s">
        <v>215</v>
      </c>
      <c r="B124" t="s">
        <v>179</v>
      </c>
      <c r="C124" t="s">
        <v>63</v>
      </c>
      <c r="D124" t="s">
        <v>64</v>
      </c>
      <c r="E124" s="1">
        <v>1</v>
      </c>
      <c r="F124" s="1">
        <f>VLOOKUP(C124,m_indikator!$A$2:$F$30,5,TRUE)</f>
        <v>100</v>
      </c>
      <c r="G124" s="15">
        <v>91.96</v>
      </c>
      <c r="H124" s="1">
        <f>VLOOKUP(C124,m_indikator!$A$2:$F$30,6,TRUE)</f>
        <v>3</v>
      </c>
      <c r="I124" s="15">
        <f t="shared" si="2"/>
        <v>2.7587999999999999</v>
      </c>
      <c r="J124" t="str">
        <f t="shared" si="3"/>
        <v>update evaluasi set tahun = 1, nilai_maks = 100, nilai_input=91.96, bobot = 3, nilai_akhir = 2.7588, id_indikator = 'C020250214' where id_evaluasi = '20250037_C020250303';</v>
      </c>
      <c r="K124" s="14"/>
      <c r="P124" s="12"/>
      <c r="Q124" s="12"/>
      <c r="U124" s="13"/>
      <c r="V124" s="13"/>
    </row>
    <row r="125" spans="1:22" hidden="1" x14ac:dyDescent="0.35">
      <c r="A125" t="s">
        <v>216</v>
      </c>
      <c r="B125" t="s">
        <v>179</v>
      </c>
      <c r="C125" t="s">
        <v>63</v>
      </c>
      <c r="D125" t="s">
        <v>64</v>
      </c>
      <c r="E125" s="1">
        <v>1</v>
      </c>
      <c r="F125" s="1">
        <f>VLOOKUP(C125,m_indikator!$A$2:$F$30,5,TRUE)</f>
        <v>100</v>
      </c>
      <c r="G125" s="15">
        <v>91.85</v>
      </c>
      <c r="H125" s="1">
        <f>VLOOKUP(C125,m_indikator!$A$2:$F$30,6,TRUE)</f>
        <v>3</v>
      </c>
      <c r="I125" s="15">
        <f t="shared" si="2"/>
        <v>2.7555000000000001</v>
      </c>
      <c r="J125" t="str">
        <f t="shared" si="3"/>
        <v>update evaluasi set tahun = 1, nilai_maks = 100, nilai_input=91.85, bobot = 3, nilai_akhir = 2.7555, id_indikator = 'C020250214' where id_evaluasi = '20250038_C020250303';</v>
      </c>
      <c r="K125" s="14"/>
      <c r="P125" s="12"/>
      <c r="Q125" s="12"/>
      <c r="U125" s="13"/>
      <c r="V125" s="13"/>
    </row>
    <row r="126" spans="1:22" hidden="1" x14ac:dyDescent="0.35">
      <c r="A126" t="s">
        <v>217</v>
      </c>
      <c r="B126" t="s">
        <v>179</v>
      </c>
      <c r="C126" t="s">
        <v>63</v>
      </c>
      <c r="D126" t="s">
        <v>64</v>
      </c>
      <c r="E126" s="1">
        <v>1</v>
      </c>
      <c r="F126" s="1">
        <f>VLOOKUP(C126,m_indikator!$A$2:$F$30,5,TRUE)</f>
        <v>100</v>
      </c>
      <c r="G126" s="15">
        <v>70.599999999999994</v>
      </c>
      <c r="H126" s="1">
        <f>VLOOKUP(C126,m_indikator!$A$2:$F$30,6,TRUE)</f>
        <v>3</v>
      </c>
      <c r="I126" s="15">
        <f t="shared" si="2"/>
        <v>2.1179999999999999</v>
      </c>
      <c r="J126" t="str">
        <f t="shared" si="3"/>
        <v>update evaluasi set tahun = 1, nilai_maks = 100, nilai_input=70.6, bobot = 3, nilai_akhir = 2.118, id_indikator = 'C020250214' where id_evaluasi = '20250039_C020250303';</v>
      </c>
      <c r="K126" s="14"/>
      <c r="P126" s="12"/>
      <c r="Q126" s="12"/>
      <c r="U126" s="13"/>
      <c r="V126" s="13"/>
    </row>
    <row r="127" spans="1:22" hidden="1" x14ac:dyDescent="0.35">
      <c r="A127" t="s">
        <v>218</v>
      </c>
      <c r="B127" t="s">
        <v>179</v>
      </c>
      <c r="C127" t="s">
        <v>63</v>
      </c>
      <c r="D127" t="s">
        <v>64</v>
      </c>
      <c r="E127" s="1">
        <v>1</v>
      </c>
      <c r="F127" s="1">
        <f>VLOOKUP(C127,m_indikator!$A$2:$F$30,5,TRUE)</f>
        <v>100</v>
      </c>
      <c r="G127" s="15">
        <v>88.75</v>
      </c>
      <c r="H127" s="1">
        <f>VLOOKUP(C127,m_indikator!$A$2:$F$30,6,TRUE)</f>
        <v>3</v>
      </c>
      <c r="I127" s="15">
        <f t="shared" si="2"/>
        <v>2.6624999999999996</v>
      </c>
      <c r="J127" t="str">
        <f t="shared" si="3"/>
        <v>update evaluasi set tahun = 1, nilai_maks = 100, nilai_input=88.75, bobot = 3, nilai_akhir = 2.6625, id_indikator = 'C020250214' where id_evaluasi = '20250040_C020250303';</v>
      </c>
      <c r="K127" s="14"/>
      <c r="P127" s="12"/>
      <c r="Q127" s="12"/>
      <c r="U127" s="13"/>
      <c r="V127" s="13"/>
    </row>
    <row r="128" spans="1:22" hidden="1" x14ac:dyDescent="0.35">
      <c r="A128" t="s">
        <v>219</v>
      </c>
      <c r="B128" t="s">
        <v>179</v>
      </c>
      <c r="C128" t="s">
        <v>63</v>
      </c>
      <c r="D128" t="s">
        <v>64</v>
      </c>
      <c r="E128" s="1">
        <v>1</v>
      </c>
      <c r="F128" s="1">
        <f>VLOOKUP(C128,m_indikator!$A$2:$F$30,5,TRUE)</f>
        <v>100</v>
      </c>
      <c r="G128" s="15">
        <v>89.64</v>
      </c>
      <c r="H128" s="1">
        <f>VLOOKUP(C128,m_indikator!$A$2:$F$30,6,TRUE)</f>
        <v>3</v>
      </c>
      <c r="I128" s="15">
        <f t="shared" si="2"/>
        <v>2.6892</v>
      </c>
      <c r="J128" t="str">
        <f t="shared" si="3"/>
        <v>update evaluasi set tahun = 1, nilai_maks = 100, nilai_input=89.64, bobot = 3, nilai_akhir = 2.6892, id_indikator = 'C020250214' where id_evaluasi = '20250041_C020250303';</v>
      </c>
      <c r="K128" s="14"/>
      <c r="P128" s="12"/>
      <c r="Q128" s="12"/>
      <c r="U128" s="13"/>
      <c r="V128" s="13"/>
    </row>
    <row r="129" spans="1:22" hidden="1" x14ac:dyDescent="0.35">
      <c r="A129" t="s">
        <v>220</v>
      </c>
      <c r="B129" t="s">
        <v>179</v>
      </c>
      <c r="C129" t="s">
        <v>63</v>
      </c>
      <c r="D129" t="s">
        <v>64</v>
      </c>
      <c r="E129" s="1">
        <v>1</v>
      </c>
      <c r="F129" s="1">
        <f>VLOOKUP(C129,m_indikator!$A$2:$F$30,5,TRUE)</f>
        <v>100</v>
      </c>
      <c r="G129" s="15">
        <v>95.9</v>
      </c>
      <c r="H129" s="1">
        <f>VLOOKUP(C129,m_indikator!$A$2:$F$30,6,TRUE)</f>
        <v>3</v>
      </c>
      <c r="I129" s="15">
        <f t="shared" si="2"/>
        <v>2.8770000000000002</v>
      </c>
      <c r="J129" t="str">
        <f t="shared" si="3"/>
        <v>update evaluasi set tahun = 1, nilai_maks = 100, nilai_input=95.9, bobot = 3, nilai_akhir = 2.877, id_indikator = 'C020250214' where id_evaluasi = '20250042_C020250303';</v>
      </c>
      <c r="K129" s="14"/>
      <c r="P129" s="12"/>
      <c r="Q129" s="12"/>
      <c r="U129" s="13"/>
      <c r="V129" s="13"/>
    </row>
    <row r="130" spans="1:22" hidden="1" x14ac:dyDescent="0.35">
      <c r="A130" t="s">
        <v>221</v>
      </c>
      <c r="B130" t="s">
        <v>179</v>
      </c>
      <c r="C130" t="s">
        <v>63</v>
      </c>
      <c r="D130" t="s">
        <v>64</v>
      </c>
      <c r="E130" s="1">
        <v>1</v>
      </c>
      <c r="F130" s="1">
        <f>VLOOKUP(C130,m_indikator!$A$2:$F$30,5,TRUE)</f>
        <v>100</v>
      </c>
      <c r="G130" s="15">
        <v>88.09</v>
      </c>
      <c r="H130" s="1">
        <f>VLOOKUP(C130,m_indikator!$A$2:$F$30,6,TRUE)</f>
        <v>3</v>
      </c>
      <c r="I130" s="15">
        <f t="shared" ref="I130:I193" si="4">(G130/F130)*H130</f>
        <v>2.6427</v>
      </c>
      <c r="J130" t="str">
        <f t="shared" ref="J130:J193" si="5">"update evaluasi set tahun = "&amp;E130&amp;", nilai_maks = "&amp;F130&amp;", nilai_input="&amp;G130&amp;", bobot = "&amp;H130&amp;", nilai_akhir = "&amp;I130&amp;", id_indikator = '"&amp;C130&amp;"' where id_evaluasi = '"&amp;A130&amp;"';"</f>
        <v>update evaluasi set tahun = 1, nilai_maks = 100, nilai_input=88.09, bobot = 3, nilai_akhir = 2.6427, id_indikator = 'C020250214' where id_evaluasi = '20250043_C020250303';</v>
      </c>
      <c r="K130" s="14"/>
      <c r="P130" s="12"/>
      <c r="Q130" s="12"/>
      <c r="U130" s="13"/>
      <c r="V130" s="13"/>
    </row>
    <row r="131" spans="1:22" hidden="1" x14ac:dyDescent="0.35">
      <c r="A131" t="s">
        <v>222</v>
      </c>
      <c r="B131" t="s">
        <v>179</v>
      </c>
      <c r="C131" t="s">
        <v>63</v>
      </c>
      <c r="D131" t="s">
        <v>64</v>
      </c>
      <c r="E131" s="1">
        <v>1</v>
      </c>
      <c r="F131" s="1">
        <f>VLOOKUP(C131,m_indikator!$A$2:$F$30,5,TRUE)</f>
        <v>100</v>
      </c>
      <c r="G131" s="15">
        <v>94.58</v>
      </c>
      <c r="H131" s="1">
        <f>VLOOKUP(C131,m_indikator!$A$2:$F$30,6,TRUE)</f>
        <v>3</v>
      </c>
      <c r="I131" s="15">
        <f t="shared" si="4"/>
        <v>2.8373999999999997</v>
      </c>
      <c r="J131" t="str">
        <f t="shared" si="5"/>
        <v>update evaluasi set tahun = 1, nilai_maks = 100, nilai_input=94.58, bobot = 3, nilai_akhir = 2.8374, id_indikator = 'C020250214' where id_evaluasi = '20250044_C020250303';</v>
      </c>
      <c r="K131" s="14"/>
      <c r="P131" s="12"/>
      <c r="Q131" s="12"/>
      <c r="U131" s="13"/>
      <c r="V131" s="13"/>
    </row>
    <row r="132" spans="1:22" hidden="1" x14ac:dyDescent="0.35">
      <c r="A132" t="s">
        <v>223</v>
      </c>
      <c r="B132" t="s">
        <v>179</v>
      </c>
      <c r="C132" t="s">
        <v>63</v>
      </c>
      <c r="D132" t="s">
        <v>64</v>
      </c>
      <c r="E132" s="1">
        <v>1</v>
      </c>
      <c r="F132" s="1">
        <f>VLOOKUP(C132,m_indikator!$A$2:$F$30,5,TRUE)</f>
        <v>100</v>
      </c>
      <c r="G132" s="15">
        <v>79.650000000000006</v>
      </c>
      <c r="H132" s="1">
        <f>VLOOKUP(C132,m_indikator!$A$2:$F$30,6,TRUE)</f>
        <v>3</v>
      </c>
      <c r="I132" s="15">
        <f t="shared" si="4"/>
        <v>2.3895000000000004</v>
      </c>
      <c r="J132" t="str">
        <f t="shared" si="5"/>
        <v>update evaluasi set tahun = 1, nilai_maks = 100, nilai_input=79.65, bobot = 3, nilai_akhir = 2.3895, id_indikator = 'C020250214' where id_evaluasi = '20250045_C020250303';</v>
      </c>
      <c r="K132" s="14"/>
      <c r="P132" s="12"/>
      <c r="Q132" s="12"/>
      <c r="U132" s="13"/>
      <c r="V132" s="13"/>
    </row>
    <row r="133" spans="1:22" hidden="1" x14ac:dyDescent="0.35">
      <c r="A133" t="s">
        <v>224</v>
      </c>
      <c r="B133" t="s">
        <v>179</v>
      </c>
      <c r="C133" t="s">
        <v>63</v>
      </c>
      <c r="D133" t="s">
        <v>64</v>
      </c>
      <c r="E133" s="1">
        <v>1</v>
      </c>
      <c r="F133" s="1">
        <f>VLOOKUP(C133,m_indikator!$A$2:$F$30,5,TRUE)</f>
        <v>100</v>
      </c>
      <c r="G133" s="15">
        <v>71.84</v>
      </c>
      <c r="H133" s="1">
        <f>VLOOKUP(C133,m_indikator!$A$2:$F$30,6,TRUE)</f>
        <v>3</v>
      </c>
      <c r="I133" s="15">
        <f t="shared" si="4"/>
        <v>2.1552000000000002</v>
      </c>
      <c r="J133" t="str">
        <f t="shared" si="5"/>
        <v>update evaluasi set tahun = 1, nilai_maks = 100, nilai_input=71.84, bobot = 3, nilai_akhir = 2.1552, id_indikator = 'C020250214' where id_evaluasi = '20250046_C020250303';</v>
      </c>
      <c r="K133" s="14"/>
      <c r="P133" s="12"/>
      <c r="Q133" s="12"/>
      <c r="U133" s="13"/>
      <c r="V133" s="13"/>
    </row>
    <row r="134" spans="1:22" hidden="1" x14ac:dyDescent="0.35">
      <c r="A134" t="s">
        <v>225</v>
      </c>
      <c r="B134" t="s">
        <v>179</v>
      </c>
      <c r="C134" t="s">
        <v>63</v>
      </c>
      <c r="D134" t="s">
        <v>64</v>
      </c>
      <c r="E134" s="1">
        <v>1</v>
      </c>
      <c r="F134" s="1">
        <f>VLOOKUP(C134,m_indikator!$A$2:$F$30,5,TRUE)</f>
        <v>100</v>
      </c>
      <c r="G134" s="15">
        <v>81.11</v>
      </c>
      <c r="H134" s="1">
        <f>VLOOKUP(C134,m_indikator!$A$2:$F$30,6,TRUE)</f>
        <v>3</v>
      </c>
      <c r="I134" s="15">
        <f t="shared" si="4"/>
        <v>2.4333</v>
      </c>
      <c r="J134" t="str">
        <f t="shared" si="5"/>
        <v>update evaluasi set tahun = 1, nilai_maks = 100, nilai_input=81.11, bobot = 3, nilai_akhir = 2.4333, id_indikator = 'C020250214' where id_evaluasi = '20250047_C020250303';</v>
      </c>
      <c r="K134" s="14"/>
      <c r="P134" s="12"/>
      <c r="Q134" s="12"/>
      <c r="U134" s="13"/>
      <c r="V134" s="13"/>
    </row>
    <row r="135" spans="1:22" hidden="1" x14ac:dyDescent="0.35">
      <c r="A135" t="s">
        <v>226</v>
      </c>
      <c r="B135" t="s">
        <v>179</v>
      </c>
      <c r="C135" t="s">
        <v>63</v>
      </c>
      <c r="D135" t="s">
        <v>64</v>
      </c>
      <c r="E135" s="1">
        <v>1</v>
      </c>
      <c r="F135" s="1">
        <f>VLOOKUP(C135,m_indikator!$A$2:$F$30,5,TRUE)</f>
        <v>100</v>
      </c>
      <c r="G135" s="15">
        <v>88.92</v>
      </c>
      <c r="H135" s="1">
        <f>VLOOKUP(C135,m_indikator!$A$2:$F$30,6,TRUE)</f>
        <v>3</v>
      </c>
      <c r="I135" s="15">
        <f t="shared" si="4"/>
        <v>2.6676000000000002</v>
      </c>
      <c r="J135" t="str">
        <f t="shared" si="5"/>
        <v>update evaluasi set tahun = 1, nilai_maks = 100, nilai_input=88.92, bobot = 3, nilai_akhir = 2.6676, id_indikator = 'C020250214' where id_evaluasi = '20250048_C020250303';</v>
      </c>
      <c r="K135" s="14"/>
      <c r="P135" s="12"/>
      <c r="Q135" s="12"/>
      <c r="U135" s="13"/>
      <c r="V135" s="13"/>
    </row>
    <row r="136" spans="1:22" hidden="1" x14ac:dyDescent="0.35">
      <c r="A136" t="s">
        <v>227</v>
      </c>
      <c r="B136" t="s">
        <v>179</v>
      </c>
      <c r="C136" t="s">
        <v>63</v>
      </c>
      <c r="D136" t="s">
        <v>64</v>
      </c>
      <c r="E136" s="1">
        <v>1</v>
      </c>
      <c r="F136" s="1">
        <f>VLOOKUP(C136,m_indikator!$A$2:$F$30,5,TRUE)</f>
        <v>100</v>
      </c>
      <c r="G136" s="15">
        <v>76.650000000000006</v>
      </c>
      <c r="H136" s="1">
        <f>VLOOKUP(C136,m_indikator!$A$2:$F$30,6,TRUE)</f>
        <v>3</v>
      </c>
      <c r="I136" s="15">
        <f t="shared" si="4"/>
        <v>2.2995000000000001</v>
      </c>
      <c r="J136" t="str">
        <f t="shared" si="5"/>
        <v>update evaluasi set tahun = 1, nilai_maks = 100, nilai_input=76.65, bobot = 3, nilai_akhir = 2.2995, id_indikator = 'C020250214' where id_evaluasi = '20250049_C020250303';</v>
      </c>
      <c r="K136" s="14"/>
      <c r="P136" s="12"/>
      <c r="Q136" s="12"/>
      <c r="U136" s="13"/>
      <c r="V136" s="13"/>
    </row>
    <row r="137" spans="1:22" hidden="1" x14ac:dyDescent="0.35">
      <c r="A137" t="s">
        <v>228</v>
      </c>
      <c r="B137" t="s">
        <v>179</v>
      </c>
      <c r="C137" t="s">
        <v>63</v>
      </c>
      <c r="D137" t="s">
        <v>64</v>
      </c>
      <c r="E137" s="1">
        <v>1</v>
      </c>
      <c r="F137" s="1">
        <f>VLOOKUP(C137,m_indikator!$A$2:$F$30,5,TRUE)</f>
        <v>100</v>
      </c>
      <c r="G137" s="15">
        <v>90.13</v>
      </c>
      <c r="H137" s="1">
        <f>VLOOKUP(C137,m_indikator!$A$2:$F$30,6,TRUE)</f>
        <v>3</v>
      </c>
      <c r="I137" s="15">
        <f t="shared" si="4"/>
        <v>2.7039</v>
      </c>
      <c r="J137" t="str">
        <f t="shared" si="5"/>
        <v>update evaluasi set tahun = 1, nilai_maks = 100, nilai_input=90.13, bobot = 3, nilai_akhir = 2.7039, id_indikator = 'C020250214' where id_evaluasi = '20250050_C020250303';</v>
      </c>
      <c r="K137" s="14"/>
      <c r="P137" s="12"/>
      <c r="Q137" s="12"/>
      <c r="U137" s="13"/>
      <c r="V137" s="13"/>
    </row>
    <row r="138" spans="1:22" hidden="1" x14ac:dyDescent="0.35">
      <c r="A138" t="s">
        <v>229</v>
      </c>
      <c r="B138" t="s">
        <v>179</v>
      </c>
      <c r="C138" t="s">
        <v>63</v>
      </c>
      <c r="D138" t="s">
        <v>64</v>
      </c>
      <c r="E138" s="1">
        <v>1</v>
      </c>
      <c r="F138" s="1">
        <f>VLOOKUP(C138,m_indikator!$A$2:$F$30,5,TRUE)</f>
        <v>100</v>
      </c>
      <c r="G138" s="15">
        <v>76.400000000000006</v>
      </c>
      <c r="H138" s="1">
        <f>VLOOKUP(C138,m_indikator!$A$2:$F$30,6,TRUE)</f>
        <v>3</v>
      </c>
      <c r="I138" s="15">
        <f t="shared" si="4"/>
        <v>2.2919999999999998</v>
      </c>
      <c r="J138" t="str">
        <f t="shared" si="5"/>
        <v>update evaluasi set tahun = 1, nilai_maks = 100, nilai_input=76.4, bobot = 3, nilai_akhir = 2.292, id_indikator = 'C020250214' where id_evaluasi = '20250051_C020250303';</v>
      </c>
      <c r="K138" s="14"/>
      <c r="P138" s="12"/>
      <c r="Q138" s="12"/>
      <c r="U138" s="13"/>
      <c r="V138" s="13"/>
    </row>
    <row r="139" spans="1:22" hidden="1" x14ac:dyDescent="0.35">
      <c r="A139" t="s">
        <v>230</v>
      </c>
      <c r="B139" t="s">
        <v>179</v>
      </c>
      <c r="C139" t="s">
        <v>63</v>
      </c>
      <c r="D139" t="s">
        <v>64</v>
      </c>
      <c r="E139" s="1">
        <v>1</v>
      </c>
      <c r="F139" s="1">
        <f>VLOOKUP(C139,m_indikator!$A$2:$F$30,5,TRUE)</f>
        <v>100</v>
      </c>
      <c r="G139" s="15">
        <v>55.84</v>
      </c>
      <c r="H139" s="1">
        <f>VLOOKUP(C139,m_indikator!$A$2:$F$30,6,TRUE)</f>
        <v>3</v>
      </c>
      <c r="I139" s="15">
        <f t="shared" si="4"/>
        <v>1.6752</v>
      </c>
      <c r="J139" t="str">
        <f t="shared" si="5"/>
        <v>update evaluasi set tahun = 1, nilai_maks = 100, nilai_input=55.84, bobot = 3, nilai_akhir = 1.6752, id_indikator = 'C020250214' where id_evaluasi = '20250052_C020250303';</v>
      </c>
      <c r="K139" s="14"/>
      <c r="P139" s="12"/>
      <c r="Q139" s="12"/>
      <c r="U139" s="13"/>
      <c r="V139" s="13"/>
    </row>
    <row r="140" spans="1:22" hidden="1" x14ac:dyDescent="0.35">
      <c r="A140" t="s">
        <v>231</v>
      </c>
      <c r="B140" t="s">
        <v>179</v>
      </c>
      <c r="C140" t="s">
        <v>63</v>
      </c>
      <c r="D140" t="s">
        <v>64</v>
      </c>
      <c r="E140" s="1">
        <v>1</v>
      </c>
      <c r="F140" s="1">
        <f>VLOOKUP(C140,m_indikator!$A$2:$F$30,5,TRUE)</f>
        <v>100</v>
      </c>
      <c r="G140" s="15">
        <v>80.98</v>
      </c>
      <c r="H140" s="1">
        <f>VLOOKUP(C140,m_indikator!$A$2:$F$30,6,TRUE)</f>
        <v>3</v>
      </c>
      <c r="I140" s="15">
        <f t="shared" si="4"/>
        <v>2.4294000000000002</v>
      </c>
      <c r="J140" t="str">
        <f t="shared" si="5"/>
        <v>update evaluasi set tahun = 1, nilai_maks = 100, nilai_input=80.98, bobot = 3, nilai_akhir = 2.4294, id_indikator = 'C020250214' where id_evaluasi = '20250053_C020250303';</v>
      </c>
      <c r="K140" s="14"/>
      <c r="P140" s="12"/>
      <c r="Q140" s="12"/>
      <c r="U140" s="13"/>
      <c r="V140" s="13"/>
    </row>
    <row r="141" spans="1:22" hidden="1" x14ac:dyDescent="0.35">
      <c r="A141" t="s">
        <v>232</v>
      </c>
      <c r="B141" t="s">
        <v>179</v>
      </c>
      <c r="C141" t="s">
        <v>63</v>
      </c>
      <c r="D141" t="s">
        <v>64</v>
      </c>
      <c r="E141" s="1">
        <v>1</v>
      </c>
      <c r="F141" s="1">
        <f>VLOOKUP(C141,m_indikator!$A$2:$F$30,5,TRUE)</f>
        <v>100</v>
      </c>
      <c r="G141" s="15">
        <v>95.49</v>
      </c>
      <c r="H141" s="1">
        <f>VLOOKUP(C141,m_indikator!$A$2:$F$30,6,TRUE)</f>
        <v>3</v>
      </c>
      <c r="I141" s="15">
        <f t="shared" si="4"/>
        <v>2.8647</v>
      </c>
      <c r="J141" t="str">
        <f t="shared" si="5"/>
        <v>update evaluasi set tahun = 1, nilai_maks = 100, nilai_input=95.49, bobot = 3, nilai_akhir = 2.8647, id_indikator = 'C020250214' where id_evaluasi = '20250054_C020250303';</v>
      </c>
      <c r="K141" s="14"/>
      <c r="P141" s="12"/>
      <c r="Q141" s="12"/>
      <c r="U141" s="13"/>
      <c r="V141" s="13"/>
    </row>
    <row r="142" spans="1:22" hidden="1" x14ac:dyDescent="0.35">
      <c r="A142" t="s">
        <v>233</v>
      </c>
      <c r="B142" t="s">
        <v>179</v>
      </c>
      <c r="C142" t="s">
        <v>63</v>
      </c>
      <c r="D142" t="s">
        <v>64</v>
      </c>
      <c r="E142" s="1">
        <v>1</v>
      </c>
      <c r="F142" s="1">
        <f>VLOOKUP(C142,m_indikator!$A$2:$F$30,5,TRUE)</f>
        <v>100</v>
      </c>
      <c r="G142" s="15">
        <v>91.63</v>
      </c>
      <c r="H142" s="1">
        <f>VLOOKUP(C142,m_indikator!$A$2:$F$30,6,TRUE)</f>
        <v>3</v>
      </c>
      <c r="I142" s="15">
        <f t="shared" si="4"/>
        <v>2.7488999999999999</v>
      </c>
      <c r="J142" t="str">
        <f t="shared" si="5"/>
        <v>update evaluasi set tahun = 1, nilai_maks = 100, nilai_input=91.63, bobot = 3, nilai_akhir = 2.7489, id_indikator = 'C020250214' where id_evaluasi = '20250055_C020250303';</v>
      </c>
      <c r="K142" s="14"/>
      <c r="P142" s="12"/>
      <c r="Q142" s="12"/>
    </row>
    <row r="143" spans="1:22" hidden="1" x14ac:dyDescent="0.35">
      <c r="A143" t="s">
        <v>234</v>
      </c>
      <c r="B143" t="s">
        <v>179</v>
      </c>
      <c r="C143" t="s">
        <v>63</v>
      </c>
      <c r="D143" t="s">
        <v>64</v>
      </c>
      <c r="E143" s="1">
        <v>1</v>
      </c>
      <c r="F143" s="1">
        <f>VLOOKUP(C143,m_indikator!$A$2:$F$30,5,TRUE)</f>
        <v>100</v>
      </c>
      <c r="G143" s="15">
        <v>85.81</v>
      </c>
      <c r="H143" s="1">
        <f>VLOOKUP(C143,m_indikator!$A$2:$F$30,6,TRUE)</f>
        <v>3</v>
      </c>
      <c r="I143" s="15">
        <f t="shared" si="4"/>
        <v>2.5743</v>
      </c>
      <c r="J143" t="str">
        <f t="shared" si="5"/>
        <v>update evaluasi set tahun = 1, nilai_maks = 100, nilai_input=85.81, bobot = 3, nilai_akhir = 2.5743, id_indikator = 'C020250214' where id_evaluasi = '20250095_C020250303';</v>
      </c>
      <c r="K143" s="14"/>
      <c r="P143" s="12"/>
      <c r="Q143" s="12"/>
      <c r="U143" s="13"/>
      <c r="V143" s="13"/>
    </row>
    <row r="144" spans="1:22" hidden="1" x14ac:dyDescent="0.35">
      <c r="A144" t="s">
        <v>235</v>
      </c>
      <c r="B144" t="s">
        <v>179</v>
      </c>
      <c r="C144" t="s">
        <v>63</v>
      </c>
      <c r="D144" t="s">
        <v>64</v>
      </c>
      <c r="E144" s="1">
        <v>1</v>
      </c>
      <c r="F144" s="1">
        <f>VLOOKUP(C144,m_indikator!$A$2:$F$30,5,TRUE)</f>
        <v>100</v>
      </c>
      <c r="G144" s="15">
        <v>50.96</v>
      </c>
      <c r="H144" s="1">
        <f>VLOOKUP(C144,m_indikator!$A$2:$F$30,6,TRUE)</f>
        <v>3</v>
      </c>
      <c r="I144" s="15">
        <f t="shared" si="4"/>
        <v>1.5288000000000002</v>
      </c>
      <c r="J144" t="str">
        <f t="shared" si="5"/>
        <v>update evaluasi set tahun = 1, nilai_maks = 100, nilai_input=50.96, bobot = 3, nilai_akhir = 1.5288, id_indikator = 'C020250214' where id_evaluasi = '20250103_C020250303';</v>
      </c>
      <c r="K144" s="14"/>
      <c r="P144" s="12"/>
      <c r="Q144" s="12"/>
      <c r="U144" s="13"/>
      <c r="V144" s="13"/>
    </row>
    <row r="145" spans="1:22" hidden="1" x14ac:dyDescent="0.35">
      <c r="A145" t="s">
        <v>236</v>
      </c>
      <c r="B145" t="s">
        <v>179</v>
      </c>
      <c r="C145" t="s">
        <v>63</v>
      </c>
      <c r="D145" t="s">
        <v>64</v>
      </c>
      <c r="E145" s="1">
        <v>1</v>
      </c>
      <c r="F145" s="1">
        <f>VLOOKUP(C145,m_indikator!$A$2:$F$30,5,TRUE)</f>
        <v>100</v>
      </c>
      <c r="G145" s="15">
        <v>85.28</v>
      </c>
      <c r="H145" s="1">
        <f>VLOOKUP(C145,m_indikator!$A$2:$F$30,6,TRUE)</f>
        <v>3</v>
      </c>
      <c r="I145" s="15">
        <f t="shared" si="4"/>
        <v>2.5583999999999998</v>
      </c>
      <c r="J145" t="str">
        <f t="shared" si="5"/>
        <v>update evaluasi set tahun = 1, nilai_maks = 100, nilai_input=85.28, bobot = 3, nilai_akhir = 2.5584, id_indikator = 'C020250214' where id_evaluasi = '20250104_C020250303';</v>
      </c>
      <c r="K145" s="14"/>
      <c r="P145" s="12"/>
      <c r="Q145" s="12"/>
      <c r="U145" s="13"/>
      <c r="V145" s="13"/>
    </row>
    <row r="146" spans="1:22" hidden="1" x14ac:dyDescent="0.35">
      <c r="A146" t="s">
        <v>237</v>
      </c>
      <c r="B146" t="s">
        <v>179</v>
      </c>
      <c r="C146" t="s">
        <v>63</v>
      </c>
      <c r="D146" t="s">
        <v>64</v>
      </c>
      <c r="E146" s="1">
        <v>1</v>
      </c>
      <c r="F146" s="1">
        <f>VLOOKUP(C146,m_indikator!$A$2:$F$30,5,TRUE)</f>
        <v>100</v>
      </c>
      <c r="G146" s="15">
        <v>53.11</v>
      </c>
      <c r="H146" s="1">
        <f>VLOOKUP(C146,m_indikator!$A$2:$F$30,6,TRUE)</f>
        <v>3</v>
      </c>
      <c r="I146" s="15">
        <f t="shared" si="4"/>
        <v>1.5933000000000002</v>
      </c>
      <c r="J146" t="str">
        <f t="shared" si="5"/>
        <v>update evaluasi set tahun = 1, nilai_maks = 100, nilai_input=53.11, bobot = 3, nilai_akhir = 1.5933, id_indikator = 'C020250214' where id_evaluasi = '20250105_C020250303';</v>
      </c>
      <c r="K146" s="14"/>
      <c r="P146" s="12"/>
      <c r="Q146" s="12"/>
      <c r="U146" s="13"/>
      <c r="V146" s="13"/>
    </row>
    <row r="147" spans="1:22" hidden="1" x14ac:dyDescent="0.35">
      <c r="A147" t="s">
        <v>238</v>
      </c>
      <c r="B147" t="s">
        <v>179</v>
      </c>
      <c r="C147" t="s">
        <v>63</v>
      </c>
      <c r="D147" t="s">
        <v>64</v>
      </c>
      <c r="E147" s="1">
        <v>1</v>
      </c>
      <c r="F147" s="1">
        <f>VLOOKUP(C147,m_indikator!$A$2:$F$30,5,TRUE)</f>
        <v>100</v>
      </c>
      <c r="G147" s="15">
        <v>61.6</v>
      </c>
      <c r="H147" s="1">
        <f>VLOOKUP(C147,m_indikator!$A$2:$F$30,6,TRUE)</f>
        <v>3</v>
      </c>
      <c r="I147" s="15">
        <f t="shared" si="4"/>
        <v>1.8479999999999999</v>
      </c>
      <c r="J147" t="str">
        <f t="shared" si="5"/>
        <v>update evaluasi set tahun = 1, nilai_maks = 100, nilai_input=61.6, bobot = 3, nilai_akhir = 1.848, id_indikator = 'C020250214' where id_evaluasi = '20250106_C020250303';</v>
      </c>
      <c r="K147" s="14"/>
      <c r="P147" s="12"/>
      <c r="Q147" s="12"/>
      <c r="U147" s="13"/>
      <c r="V147" s="13"/>
    </row>
    <row r="148" spans="1:22" hidden="1" x14ac:dyDescent="0.35">
      <c r="A148" t="s">
        <v>239</v>
      </c>
      <c r="B148" t="s">
        <v>179</v>
      </c>
      <c r="C148" t="s">
        <v>63</v>
      </c>
      <c r="D148" t="s">
        <v>64</v>
      </c>
      <c r="E148" s="1">
        <v>1</v>
      </c>
      <c r="F148" s="1">
        <f>VLOOKUP(C148,m_indikator!$A$2:$F$30,5,TRUE)</f>
        <v>100</v>
      </c>
      <c r="G148" s="15">
        <v>78.709999999999994</v>
      </c>
      <c r="H148" s="1">
        <f>VLOOKUP(C148,m_indikator!$A$2:$F$30,6,TRUE)</f>
        <v>3</v>
      </c>
      <c r="I148" s="15">
        <f t="shared" si="4"/>
        <v>2.3613</v>
      </c>
      <c r="J148" t="str">
        <f t="shared" si="5"/>
        <v>update evaluasi set tahun = 1, nilai_maks = 100, nilai_input=78.71, bobot = 3, nilai_akhir = 2.3613, id_indikator = 'C020250214' where id_evaluasi = '20250107_C020250303';</v>
      </c>
      <c r="K148" s="14"/>
      <c r="P148" s="12"/>
      <c r="Q148" s="12"/>
      <c r="U148" s="13"/>
      <c r="V148" s="13"/>
    </row>
    <row r="149" spans="1:22" hidden="1" x14ac:dyDescent="0.35">
      <c r="A149" t="s">
        <v>240</v>
      </c>
      <c r="B149" t="s">
        <v>179</v>
      </c>
      <c r="C149" t="s">
        <v>63</v>
      </c>
      <c r="D149" t="s">
        <v>64</v>
      </c>
      <c r="E149" s="1">
        <v>1</v>
      </c>
      <c r="F149" s="1">
        <f>VLOOKUP(C149,m_indikator!$A$2:$F$30,5,TRUE)</f>
        <v>100</v>
      </c>
      <c r="G149" s="15">
        <v>55.44</v>
      </c>
      <c r="H149" s="1">
        <f>VLOOKUP(C149,m_indikator!$A$2:$F$30,6,TRUE)</f>
        <v>3</v>
      </c>
      <c r="I149" s="15">
        <f t="shared" si="4"/>
        <v>1.6632</v>
      </c>
      <c r="J149" t="str">
        <f t="shared" si="5"/>
        <v>update evaluasi set tahun = 1, nilai_maks = 100, nilai_input=55.44, bobot = 3, nilai_akhir = 1.6632, id_indikator = 'C020250214' where id_evaluasi = '20250108_C020250303';</v>
      </c>
      <c r="K149" s="14"/>
      <c r="P149" s="12"/>
      <c r="Q149" s="12"/>
      <c r="U149" s="13"/>
      <c r="V149" s="13"/>
    </row>
    <row r="150" spans="1:22" hidden="1" x14ac:dyDescent="0.35">
      <c r="A150" t="s">
        <v>241</v>
      </c>
      <c r="B150" t="s">
        <v>179</v>
      </c>
      <c r="C150" t="s">
        <v>63</v>
      </c>
      <c r="D150" t="s">
        <v>64</v>
      </c>
      <c r="E150" s="1">
        <v>1</v>
      </c>
      <c r="F150" s="1">
        <f>VLOOKUP(C150,m_indikator!$A$2:$F$30,5,TRUE)</f>
        <v>100</v>
      </c>
      <c r="G150" s="15">
        <v>55.27</v>
      </c>
      <c r="H150" s="1">
        <f>VLOOKUP(C150,m_indikator!$A$2:$F$30,6,TRUE)</f>
        <v>3</v>
      </c>
      <c r="I150" s="15">
        <f t="shared" si="4"/>
        <v>1.6581000000000001</v>
      </c>
      <c r="J150" t="str">
        <f t="shared" si="5"/>
        <v>update evaluasi set tahun = 1, nilai_maks = 100, nilai_input=55.27, bobot = 3, nilai_akhir = 1.6581, id_indikator = 'C020250214' where id_evaluasi = '20250109_C020250303';</v>
      </c>
      <c r="K150" s="14"/>
      <c r="P150" s="12"/>
      <c r="Q150" s="12"/>
      <c r="U150" s="13"/>
      <c r="V150" s="13"/>
    </row>
    <row r="151" spans="1:22" hidden="1" x14ac:dyDescent="0.35">
      <c r="A151" t="s">
        <v>242</v>
      </c>
      <c r="B151" t="s">
        <v>179</v>
      </c>
      <c r="C151" t="s">
        <v>63</v>
      </c>
      <c r="D151" t="s">
        <v>64</v>
      </c>
      <c r="E151" s="1">
        <v>1</v>
      </c>
      <c r="F151" s="1">
        <f>VLOOKUP(C151,m_indikator!$A$2:$F$30,5,TRUE)</f>
        <v>100</v>
      </c>
      <c r="G151" s="15">
        <v>54.19</v>
      </c>
      <c r="H151" s="1">
        <f>VLOOKUP(C151,m_indikator!$A$2:$F$30,6,TRUE)</f>
        <v>3</v>
      </c>
      <c r="I151" s="15">
        <f t="shared" si="4"/>
        <v>1.6256999999999997</v>
      </c>
      <c r="J151" t="str">
        <f t="shared" si="5"/>
        <v>update evaluasi set tahun = 1, nilai_maks = 100, nilai_input=54.19, bobot = 3, nilai_akhir = 1.6257, id_indikator = 'C020250214' where id_evaluasi = '20250110_C020250303';</v>
      </c>
      <c r="K151" s="14"/>
      <c r="P151" s="12"/>
      <c r="Q151" s="12"/>
      <c r="U151" s="13"/>
      <c r="V151" s="13"/>
    </row>
    <row r="152" spans="1:22" hidden="1" x14ac:dyDescent="0.35">
      <c r="A152" t="s">
        <v>270</v>
      </c>
      <c r="B152" t="s">
        <v>244</v>
      </c>
      <c r="C152" t="s">
        <v>68</v>
      </c>
      <c r="D152" t="s">
        <v>69</v>
      </c>
      <c r="E152" s="1">
        <v>1</v>
      </c>
      <c r="F152" s="1">
        <f>VLOOKUP(C152,m_indikator!$A$2:$F$30,5,TRUE)</f>
        <v>100</v>
      </c>
      <c r="G152" s="15">
        <v>100</v>
      </c>
      <c r="H152" s="1">
        <f>VLOOKUP(C152,m_indikator!$A$2:$F$30,6,TRUE)</f>
        <v>2</v>
      </c>
      <c r="I152" s="15">
        <f t="shared" si="4"/>
        <v>2</v>
      </c>
      <c r="J152" t="str">
        <f t="shared" si="5"/>
        <v>update evaluasi set tahun = 1, nilai_maks = 100, nilai_input=100, bobot = 2, nilai_akhir = 2, id_indikator = 'C020250218' where id_evaluasi = '20250001_C020250402';</v>
      </c>
      <c r="P152" s="12"/>
      <c r="Q152" s="12"/>
    </row>
    <row r="153" spans="1:22" hidden="1" x14ac:dyDescent="0.35">
      <c r="A153" t="s">
        <v>271</v>
      </c>
      <c r="B153" t="s">
        <v>244</v>
      </c>
      <c r="C153" t="s">
        <v>68</v>
      </c>
      <c r="D153" t="s">
        <v>69</v>
      </c>
      <c r="E153" s="1">
        <v>1</v>
      </c>
      <c r="F153" s="1">
        <f>VLOOKUP(C153,m_indikator!$A$2:$F$30,5,TRUE)</f>
        <v>100</v>
      </c>
      <c r="G153" s="15">
        <v>100</v>
      </c>
      <c r="H153" s="1">
        <f>VLOOKUP(C153,m_indikator!$A$2:$F$30,6,TRUE)</f>
        <v>2</v>
      </c>
      <c r="I153" s="15">
        <f t="shared" si="4"/>
        <v>2</v>
      </c>
      <c r="J153" t="str">
        <f t="shared" si="5"/>
        <v>update evaluasi set tahun = 1, nilai_maks = 100, nilai_input=100, bobot = 2, nilai_akhir = 2, id_indikator = 'C020250218' where id_evaluasi = '20250002_C020250402';</v>
      </c>
      <c r="P153" s="12"/>
      <c r="Q153" s="12"/>
    </row>
    <row r="154" spans="1:22" hidden="1" x14ac:dyDescent="0.35">
      <c r="A154" t="s">
        <v>272</v>
      </c>
      <c r="B154" t="s">
        <v>244</v>
      </c>
      <c r="C154" t="s">
        <v>68</v>
      </c>
      <c r="D154" t="s">
        <v>69</v>
      </c>
      <c r="E154" s="1">
        <v>1</v>
      </c>
      <c r="F154" s="1">
        <f>VLOOKUP(C154,m_indikator!$A$2:$F$30,5,TRUE)</f>
        <v>100</v>
      </c>
      <c r="G154" s="15">
        <v>100</v>
      </c>
      <c r="H154" s="1">
        <f>VLOOKUP(C154,m_indikator!$A$2:$F$30,6,TRUE)</f>
        <v>2</v>
      </c>
      <c r="I154" s="15">
        <f t="shared" si="4"/>
        <v>2</v>
      </c>
      <c r="J154" t="str">
        <f t="shared" si="5"/>
        <v>update evaluasi set tahun = 1, nilai_maks = 100, nilai_input=100, bobot = 2, nilai_akhir = 2, id_indikator = 'C020250218' where id_evaluasi = '20250003_C020250402';</v>
      </c>
      <c r="P154" s="12"/>
      <c r="Q154" s="12"/>
    </row>
    <row r="155" spans="1:22" hidden="1" x14ac:dyDescent="0.35">
      <c r="A155" t="s">
        <v>273</v>
      </c>
      <c r="B155" t="s">
        <v>244</v>
      </c>
      <c r="C155" t="s">
        <v>68</v>
      </c>
      <c r="D155" t="s">
        <v>69</v>
      </c>
      <c r="E155" s="1">
        <v>1</v>
      </c>
      <c r="F155" s="1">
        <f>VLOOKUP(C155,m_indikator!$A$2:$F$30,5,TRUE)</f>
        <v>100</v>
      </c>
      <c r="G155" s="15">
        <v>100</v>
      </c>
      <c r="H155" s="1">
        <f>VLOOKUP(C155,m_indikator!$A$2:$F$30,6,TRUE)</f>
        <v>2</v>
      </c>
      <c r="I155" s="15">
        <f t="shared" si="4"/>
        <v>2</v>
      </c>
      <c r="J155" t="str">
        <f t="shared" si="5"/>
        <v>update evaluasi set tahun = 1, nilai_maks = 100, nilai_input=100, bobot = 2, nilai_akhir = 2, id_indikator = 'C020250218' where id_evaluasi = '20250004_C020250402';</v>
      </c>
      <c r="P155" s="12"/>
      <c r="Q155" s="12"/>
    </row>
    <row r="156" spans="1:22" hidden="1" x14ac:dyDescent="0.35">
      <c r="A156" t="s">
        <v>274</v>
      </c>
      <c r="B156" t="s">
        <v>244</v>
      </c>
      <c r="C156" t="s">
        <v>68</v>
      </c>
      <c r="D156" t="s">
        <v>69</v>
      </c>
      <c r="E156" s="1">
        <v>1</v>
      </c>
      <c r="F156" s="1">
        <f>VLOOKUP(C156,m_indikator!$A$2:$F$30,5,TRUE)</f>
        <v>100</v>
      </c>
      <c r="G156" s="15">
        <v>100</v>
      </c>
      <c r="H156" s="1">
        <f>VLOOKUP(C156,m_indikator!$A$2:$F$30,6,TRUE)</f>
        <v>2</v>
      </c>
      <c r="I156" s="15">
        <f t="shared" si="4"/>
        <v>2</v>
      </c>
      <c r="J156" t="str">
        <f t="shared" si="5"/>
        <v>update evaluasi set tahun = 1, nilai_maks = 100, nilai_input=100, bobot = 2, nilai_akhir = 2, id_indikator = 'C020250218' where id_evaluasi = '20250005_C020250402';</v>
      </c>
      <c r="P156" s="12"/>
      <c r="Q156" s="12"/>
    </row>
    <row r="157" spans="1:22" hidden="1" x14ac:dyDescent="0.35">
      <c r="A157" t="s">
        <v>275</v>
      </c>
      <c r="B157" t="s">
        <v>244</v>
      </c>
      <c r="C157" t="s">
        <v>68</v>
      </c>
      <c r="D157" t="s">
        <v>69</v>
      </c>
      <c r="E157" s="1">
        <v>1</v>
      </c>
      <c r="F157" s="1">
        <f>VLOOKUP(C157,m_indikator!$A$2:$F$30,5,TRUE)</f>
        <v>100</v>
      </c>
      <c r="G157" s="15">
        <v>100</v>
      </c>
      <c r="H157" s="1">
        <f>VLOOKUP(C157,m_indikator!$A$2:$F$30,6,TRUE)</f>
        <v>2</v>
      </c>
      <c r="I157" s="15">
        <f t="shared" si="4"/>
        <v>2</v>
      </c>
      <c r="J157" t="str">
        <f t="shared" si="5"/>
        <v>update evaluasi set tahun = 1, nilai_maks = 100, nilai_input=100, bobot = 2, nilai_akhir = 2, id_indikator = 'C020250218' where id_evaluasi = '20250006_C020250402';</v>
      </c>
      <c r="P157" s="12"/>
      <c r="Q157" s="12"/>
    </row>
    <row r="158" spans="1:22" hidden="1" x14ac:dyDescent="0.35">
      <c r="A158" t="s">
        <v>276</v>
      </c>
      <c r="B158" t="s">
        <v>244</v>
      </c>
      <c r="C158" t="s">
        <v>68</v>
      </c>
      <c r="D158" t="s">
        <v>69</v>
      </c>
      <c r="E158" s="1">
        <v>1</v>
      </c>
      <c r="F158" s="1">
        <f>VLOOKUP(C158,m_indikator!$A$2:$F$30,5,TRUE)</f>
        <v>100</v>
      </c>
      <c r="G158" s="15">
        <v>100</v>
      </c>
      <c r="H158" s="1">
        <f>VLOOKUP(C158,m_indikator!$A$2:$F$30,6,TRUE)</f>
        <v>2</v>
      </c>
      <c r="I158" s="15">
        <f t="shared" si="4"/>
        <v>2</v>
      </c>
      <c r="J158" t="str">
        <f t="shared" si="5"/>
        <v>update evaluasi set tahun = 1, nilai_maks = 100, nilai_input=100, bobot = 2, nilai_akhir = 2, id_indikator = 'C020250218' where id_evaluasi = '20250007_C020250402';</v>
      </c>
      <c r="P158" s="12"/>
      <c r="Q158" s="12"/>
    </row>
    <row r="159" spans="1:22" hidden="1" x14ac:dyDescent="0.35">
      <c r="A159" t="s">
        <v>277</v>
      </c>
      <c r="B159" t="s">
        <v>244</v>
      </c>
      <c r="C159" t="s">
        <v>68</v>
      </c>
      <c r="D159" t="s">
        <v>69</v>
      </c>
      <c r="E159" s="1">
        <v>1</v>
      </c>
      <c r="F159" s="1">
        <f>VLOOKUP(C159,m_indikator!$A$2:$F$30,5,TRUE)</f>
        <v>100</v>
      </c>
      <c r="G159" s="15">
        <v>100</v>
      </c>
      <c r="H159" s="1">
        <f>VLOOKUP(C159,m_indikator!$A$2:$F$30,6,TRUE)</f>
        <v>2</v>
      </c>
      <c r="I159" s="15">
        <f t="shared" si="4"/>
        <v>2</v>
      </c>
      <c r="J159" t="str">
        <f t="shared" si="5"/>
        <v>update evaluasi set tahun = 1, nilai_maks = 100, nilai_input=100, bobot = 2, nilai_akhir = 2, id_indikator = 'C020250218' where id_evaluasi = '20250008_C020250402';</v>
      </c>
      <c r="P159" s="12"/>
      <c r="Q159" s="12"/>
    </row>
    <row r="160" spans="1:22" hidden="1" x14ac:dyDescent="0.35">
      <c r="A160" t="s">
        <v>278</v>
      </c>
      <c r="B160" t="s">
        <v>244</v>
      </c>
      <c r="C160" t="s">
        <v>68</v>
      </c>
      <c r="D160" t="s">
        <v>69</v>
      </c>
      <c r="E160" s="1">
        <v>1</v>
      </c>
      <c r="F160" s="1">
        <f>VLOOKUP(C160,m_indikator!$A$2:$F$30,5,TRUE)</f>
        <v>100</v>
      </c>
      <c r="G160" s="15">
        <v>100</v>
      </c>
      <c r="H160" s="1">
        <f>VLOOKUP(C160,m_indikator!$A$2:$F$30,6,TRUE)</f>
        <v>2</v>
      </c>
      <c r="I160" s="15">
        <f t="shared" si="4"/>
        <v>2</v>
      </c>
      <c r="J160" t="str">
        <f t="shared" si="5"/>
        <v>update evaluasi set tahun = 1, nilai_maks = 100, nilai_input=100, bobot = 2, nilai_akhir = 2, id_indikator = 'C020250218' where id_evaluasi = '20250009_C020250402';</v>
      </c>
      <c r="P160" s="12"/>
      <c r="Q160" s="12"/>
    </row>
    <row r="161" spans="1:17" hidden="1" x14ac:dyDescent="0.35">
      <c r="A161" t="s">
        <v>279</v>
      </c>
      <c r="B161" t="s">
        <v>244</v>
      </c>
      <c r="C161" t="s">
        <v>68</v>
      </c>
      <c r="D161" t="s">
        <v>69</v>
      </c>
      <c r="E161" s="1">
        <v>1</v>
      </c>
      <c r="F161" s="1">
        <f>VLOOKUP(C161,m_indikator!$A$2:$F$30,5,TRUE)</f>
        <v>100</v>
      </c>
      <c r="G161" s="15">
        <v>100</v>
      </c>
      <c r="H161" s="1">
        <f>VLOOKUP(C161,m_indikator!$A$2:$F$30,6,TRUE)</f>
        <v>2</v>
      </c>
      <c r="I161" s="15">
        <f t="shared" si="4"/>
        <v>2</v>
      </c>
      <c r="J161" t="str">
        <f t="shared" si="5"/>
        <v>update evaluasi set tahun = 1, nilai_maks = 100, nilai_input=100, bobot = 2, nilai_akhir = 2, id_indikator = 'C020250218' where id_evaluasi = '20250010_C020250402';</v>
      </c>
      <c r="P161" s="12"/>
      <c r="Q161" s="12"/>
    </row>
    <row r="162" spans="1:17" hidden="1" x14ac:dyDescent="0.35">
      <c r="A162" t="s">
        <v>280</v>
      </c>
      <c r="B162" t="s">
        <v>244</v>
      </c>
      <c r="C162" t="s">
        <v>68</v>
      </c>
      <c r="D162" t="s">
        <v>69</v>
      </c>
      <c r="E162" s="1">
        <v>1</v>
      </c>
      <c r="F162" s="1">
        <f>VLOOKUP(C162,m_indikator!$A$2:$F$30,5,TRUE)</f>
        <v>100</v>
      </c>
      <c r="G162" s="15">
        <v>100</v>
      </c>
      <c r="H162" s="1">
        <f>VLOOKUP(C162,m_indikator!$A$2:$F$30,6,TRUE)</f>
        <v>2</v>
      </c>
      <c r="I162" s="15">
        <f t="shared" si="4"/>
        <v>2</v>
      </c>
      <c r="J162" t="str">
        <f t="shared" si="5"/>
        <v>update evaluasi set tahun = 1, nilai_maks = 100, nilai_input=100, bobot = 2, nilai_akhir = 2, id_indikator = 'C020250218' where id_evaluasi = '20250011_C020250402';</v>
      </c>
      <c r="P162" s="12"/>
      <c r="Q162" s="12"/>
    </row>
    <row r="163" spans="1:17" hidden="1" x14ac:dyDescent="0.35">
      <c r="A163" t="s">
        <v>281</v>
      </c>
      <c r="B163" t="s">
        <v>244</v>
      </c>
      <c r="C163" t="s">
        <v>68</v>
      </c>
      <c r="D163" t="s">
        <v>69</v>
      </c>
      <c r="E163" s="1">
        <v>1</v>
      </c>
      <c r="F163" s="1">
        <f>VLOOKUP(C163,m_indikator!$A$2:$F$30,5,TRUE)</f>
        <v>100</v>
      </c>
      <c r="G163" s="15">
        <v>100</v>
      </c>
      <c r="H163" s="1">
        <f>VLOOKUP(C163,m_indikator!$A$2:$F$30,6,TRUE)</f>
        <v>2</v>
      </c>
      <c r="I163" s="15">
        <f t="shared" si="4"/>
        <v>2</v>
      </c>
      <c r="J163" t="str">
        <f t="shared" si="5"/>
        <v>update evaluasi set tahun = 1, nilai_maks = 100, nilai_input=100, bobot = 2, nilai_akhir = 2, id_indikator = 'C020250218' where id_evaluasi = '20250012_C020250402';</v>
      </c>
      <c r="P163" s="12"/>
      <c r="Q163" s="12"/>
    </row>
    <row r="164" spans="1:17" hidden="1" x14ac:dyDescent="0.35">
      <c r="A164" t="s">
        <v>282</v>
      </c>
      <c r="B164" t="s">
        <v>244</v>
      </c>
      <c r="C164" t="s">
        <v>68</v>
      </c>
      <c r="D164" t="s">
        <v>69</v>
      </c>
      <c r="E164" s="1">
        <v>1</v>
      </c>
      <c r="F164" s="1">
        <f>VLOOKUP(C164,m_indikator!$A$2:$F$30,5,TRUE)</f>
        <v>100</v>
      </c>
      <c r="G164" s="15">
        <v>100</v>
      </c>
      <c r="H164" s="1">
        <f>VLOOKUP(C164,m_indikator!$A$2:$F$30,6,TRUE)</f>
        <v>2</v>
      </c>
      <c r="I164" s="15">
        <f t="shared" si="4"/>
        <v>2</v>
      </c>
      <c r="J164" t="str">
        <f t="shared" si="5"/>
        <v>update evaluasi set tahun = 1, nilai_maks = 100, nilai_input=100, bobot = 2, nilai_akhir = 2, id_indikator = 'C020250218' where id_evaluasi = '20250013_C020250402';</v>
      </c>
      <c r="P164" s="12"/>
      <c r="Q164" s="12"/>
    </row>
    <row r="165" spans="1:17" hidden="1" x14ac:dyDescent="0.35">
      <c r="A165" t="s">
        <v>283</v>
      </c>
      <c r="B165" t="s">
        <v>244</v>
      </c>
      <c r="C165" t="s">
        <v>68</v>
      </c>
      <c r="D165" t="s">
        <v>69</v>
      </c>
      <c r="E165" s="1">
        <v>1</v>
      </c>
      <c r="F165" s="1">
        <f>VLOOKUP(C165,m_indikator!$A$2:$F$30,5,TRUE)</f>
        <v>100</v>
      </c>
      <c r="G165" s="15">
        <v>100</v>
      </c>
      <c r="H165" s="1">
        <f>VLOOKUP(C165,m_indikator!$A$2:$F$30,6,TRUE)</f>
        <v>2</v>
      </c>
      <c r="I165" s="15">
        <f t="shared" si="4"/>
        <v>2</v>
      </c>
      <c r="J165" t="str">
        <f t="shared" si="5"/>
        <v>update evaluasi set tahun = 1, nilai_maks = 100, nilai_input=100, bobot = 2, nilai_akhir = 2, id_indikator = 'C020250218' where id_evaluasi = '20250014_C020250402';</v>
      </c>
      <c r="P165" s="12"/>
      <c r="Q165" s="12"/>
    </row>
    <row r="166" spans="1:17" hidden="1" x14ac:dyDescent="0.35">
      <c r="A166" t="s">
        <v>284</v>
      </c>
      <c r="B166" t="s">
        <v>244</v>
      </c>
      <c r="C166" t="s">
        <v>68</v>
      </c>
      <c r="D166" t="s">
        <v>69</v>
      </c>
      <c r="E166" s="1">
        <v>1</v>
      </c>
      <c r="F166" s="1">
        <f>VLOOKUP(C166,m_indikator!$A$2:$F$30,5,TRUE)</f>
        <v>100</v>
      </c>
      <c r="G166" s="15">
        <v>100</v>
      </c>
      <c r="H166" s="1">
        <f>VLOOKUP(C166,m_indikator!$A$2:$F$30,6,TRUE)</f>
        <v>2</v>
      </c>
      <c r="I166" s="15">
        <f t="shared" si="4"/>
        <v>2</v>
      </c>
      <c r="J166" t="str">
        <f t="shared" si="5"/>
        <v>update evaluasi set tahun = 1, nilai_maks = 100, nilai_input=100, bobot = 2, nilai_akhir = 2, id_indikator = 'C020250218' where id_evaluasi = '20250015_C020250402';</v>
      </c>
      <c r="P166" s="12"/>
      <c r="Q166" s="12"/>
    </row>
    <row r="167" spans="1:17" hidden="1" x14ac:dyDescent="0.35">
      <c r="A167" t="s">
        <v>285</v>
      </c>
      <c r="B167" t="s">
        <v>244</v>
      </c>
      <c r="C167" t="s">
        <v>68</v>
      </c>
      <c r="D167" t="s">
        <v>69</v>
      </c>
      <c r="E167" s="1">
        <v>1</v>
      </c>
      <c r="F167" s="1">
        <f>VLOOKUP(C167,m_indikator!$A$2:$F$30,5,TRUE)</f>
        <v>100</v>
      </c>
      <c r="G167" s="15">
        <v>80</v>
      </c>
      <c r="H167" s="1">
        <f>VLOOKUP(C167,m_indikator!$A$2:$F$30,6,TRUE)</f>
        <v>2</v>
      </c>
      <c r="I167" s="15">
        <f t="shared" si="4"/>
        <v>1.6</v>
      </c>
      <c r="J167" t="str">
        <f t="shared" si="5"/>
        <v>update evaluasi set tahun = 1, nilai_maks = 100, nilai_input=80, bobot = 2, nilai_akhir = 1.6, id_indikator = 'C020250218' where id_evaluasi = '20250016_C020250402';</v>
      </c>
      <c r="P167" s="12"/>
      <c r="Q167" s="12"/>
    </row>
    <row r="168" spans="1:17" hidden="1" x14ac:dyDescent="0.35">
      <c r="A168" t="s">
        <v>286</v>
      </c>
      <c r="B168" t="s">
        <v>244</v>
      </c>
      <c r="C168" t="s">
        <v>68</v>
      </c>
      <c r="D168" t="s">
        <v>69</v>
      </c>
      <c r="E168" s="1">
        <v>1</v>
      </c>
      <c r="F168" s="1">
        <f>VLOOKUP(C168,m_indikator!$A$2:$F$30,5,TRUE)</f>
        <v>100</v>
      </c>
      <c r="G168" s="15">
        <v>100</v>
      </c>
      <c r="H168" s="1">
        <f>VLOOKUP(C168,m_indikator!$A$2:$F$30,6,TRUE)</f>
        <v>2</v>
      </c>
      <c r="I168" s="15">
        <f t="shared" si="4"/>
        <v>2</v>
      </c>
      <c r="J168" t="str">
        <f t="shared" si="5"/>
        <v>update evaluasi set tahun = 1, nilai_maks = 100, nilai_input=100, bobot = 2, nilai_akhir = 2, id_indikator = 'C020250218' where id_evaluasi = '20250017_C020250402';</v>
      </c>
      <c r="P168" s="12"/>
      <c r="Q168" s="12"/>
    </row>
    <row r="169" spans="1:17" hidden="1" x14ac:dyDescent="0.35">
      <c r="A169" t="s">
        <v>287</v>
      </c>
      <c r="B169" t="s">
        <v>244</v>
      </c>
      <c r="C169" t="s">
        <v>68</v>
      </c>
      <c r="D169" t="s">
        <v>69</v>
      </c>
      <c r="E169" s="1">
        <v>1</v>
      </c>
      <c r="F169" s="1">
        <f>VLOOKUP(C169,m_indikator!$A$2:$F$30,5,TRUE)</f>
        <v>100</v>
      </c>
      <c r="G169" s="15">
        <v>100</v>
      </c>
      <c r="H169" s="1">
        <f>VLOOKUP(C169,m_indikator!$A$2:$F$30,6,TRUE)</f>
        <v>2</v>
      </c>
      <c r="I169" s="15">
        <f t="shared" si="4"/>
        <v>2</v>
      </c>
      <c r="J169" t="str">
        <f t="shared" si="5"/>
        <v>update evaluasi set tahun = 1, nilai_maks = 100, nilai_input=100, bobot = 2, nilai_akhir = 2, id_indikator = 'C020250218' where id_evaluasi = '20250018_C020250402';</v>
      </c>
      <c r="P169" s="12"/>
      <c r="Q169" s="12"/>
    </row>
    <row r="170" spans="1:17" hidden="1" x14ac:dyDescent="0.35">
      <c r="A170" t="s">
        <v>288</v>
      </c>
      <c r="B170" t="s">
        <v>244</v>
      </c>
      <c r="C170" t="s">
        <v>68</v>
      </c>
      <c r="D170" t="s">
        <v>69</v>
      </c>
      <c r="E170" s="1">
        <v>1</v>
      </c>
      <c r="F170" s="1">
        <f>VLOOKUP(C170,m_indikator!$A$2:$F$30,5,TRUE)</f>
        <v>100</v>
      </c>
      <c r="G170" s="15">
        <v>100</v>
      </c>
      <c r="H170" s="1">
        <f>VLOOKUP(C170,m_indikator!$A$2:$F$30,6,TRUE)</f>
        <v>2</v>
      </c>
      <c r="I170" s="15">
        <f t="shared" si="4"/>
        <v>2</v>
      </c>
      <c r="J170" t="str">
        <f t="shared" si="5"/>
        <v>update evaluasi set tahun = 1, nilai_maks = 100, nilai_input=100, bobot = 2, nilai_akhir = 2, id_indikator = 'C020250218' where id_evaluasi = '20250019_C020250402';</v>
      </c>
      <c r="P170" s="12"/>
      <c r="Q170" s="12"/>
    </row>
    <row r="171" spans="1:17" hidden="1" x14ac:dyDescent="0.35">
      <c r="A171" t="s">
        <v>289</v>
      </c>
      <c r="B171" t="s">
        <v>244</v>
      </c>
      <c r="C171" t="s">
        <v>68</v>
      </c>
      <c r="D171" t="s">
        <v>69</v>
      </c>
      <c r="E171" s="1">
        <v>1</v>
      </c>
      <c r="F171" s="1">
        <f>VLOOKUP(C171,m_indikator!$A$2:$F$30,5,TRUE)</f>
        <v>100</v>
      </c>
      <c r="G171" s="15">
        <v>100</v>
      </c>
      <c r="H171" s="1">
        <f>VLOOKUP(C171,m_indikator!$A$2:$F$30,6,TRUE)</f>
        <v>2</v>
      </c>
      <c r="I171" s="15">
        <f t="shared" si="4"/>
        <v>2</v>
      </c>
      <c r="J171" t="str">
        <f t="shared" si="5"/>
        <v>update evaluasi set tahun = 1, nilai_maks = 100, nilai_input=100, bobot = 2, nilai_akhir = 2, id_indikator = 'C020250218' where id_evaluasi = '20250020_C020250402';</v>
      </c>
      <c r="P171" s="12"/>
      <c r="Q171" s="12"/>
    </row>
    <row r="172" spans="1:17" hidden="1" x14ac:dyDescent="0.35">
      <c r="A172" t="s">
        <v>290</v>
      </c>
      <c r="B172" t="s">
        <v>244</v>
      </c>
      <c r="C172" t="s">
        <v>68</v>
      </c>
      <c r="D172" t="s">
        <v>69</v>
      </c>
      <c r="E172" s="1">
        <v>1</v>
      </c>
      <c r="F172" s="1">
        <f>VLOOKUP(C172,m_indikator!$A$2:$F$30,5,TRUE)</f>
        <v>100</v>
      </c>
      <c r="G172" s="15">
        <v>100</v>
      </c>
      <c r="H172" s="1">
        <f>VLOOKUP(C172,m_indikator!$A$2:$F$30,6,TRUE)</f>
        <v>2</v>
      </c>
      <c r="I172" s="15">
        <f t="shared" si="4"/>
        <v>2</v>
      </c>
      <c r="J172" t="str">
        <f t="shared" si="5"/>
        <v>update evaluasi set tahun = 1, nilai_maks = 100, nilai_input=100, bobot = 2, nilai_akhir = 2, id_indikator = 'C020250218' where id_evaluasi = '20250021_C020250402';</v>
      </c>
      <c r="P172" s="12"/>
      <c r="Q172" s="12"/>
    </row>
    <row r="173" spans="1:17" hidden="1" x14ac:dyDescent="0.35">
      <c r="A173" t="s">
        <v>291</v>
      </c>
      <c r="B173" t="s">
        <v>244</v>
      </c>
      <c r="C173" t="s">
        <v>68</v>
      </c>
      <c r="D173" t="s">
        <v>69</v>
      </c>
      <c r="E173" s="1">
        <v>1</v>
      </c>
      <c r="F173" s="1">
        <f>VLOOKUP(C173,m_indikator!$A$2:$F$30,5,TRUE)</f>
        <v>100</v>
      </c>
      <c r="G173" s="15">
        <v>85</v>
      </c>
      <c r="H173" s="1">
        <f>VLOOKUP(C173,m_indikator!$A$2:$F$30,6,TRUE)</f>
        <v>2</v>
      </c>
      <c r="I173" s="15">
        <f t="shared" si="4"/>
        <v>1.7</v>
      </c>
      <c r="J173" t="str">
        <f t="shared" si="5"/>
        <v>update evaluasi set tahun = 1, nilai_maks = 100, nilai_input=85, bobot = 2, nilai_akhir = 1.7, id_indikator = 'C020250218' where id_evaluasi = '20250022_C020250402';</v>
      </c>
      <c r="P173" s="12"/>
      <c r="Q173" s="12"/>
    </row>
    <row r="174" spans="1:17" hidden="1" x14ac:dyDescent="0.35">
      <c r="A174" t="s">
        <v>292</v>
      </c>
      <c r="B174" t="s">
        <v>244</v>
      </c>
      <c r="C174" t="s">
        <v>68</v>
      </c>
      <c r="D174" t="s">
        <v>69</v>
      </c>
      <c r="E174" s="1">
        <v>1</v>
      </c>
      <c r="F174" s="1">
        <f>VLOOKUP(C174,m_indikator!$A$2:$F$30,5,TRUE)</f>
        <v>100</v>
      </c>
      <c r="G174" s="15">
        <v>100</v>
      </c>
      <c r="H174" s="1">
        <f>VLOOKUP(C174,m_indikator!$A$2:$F$30,6,TRUE)</f>
        <v>2</v>
      </c>
      <c r="I174" s="15">
        <f t="shared" si="4"/>
        <v>2</v>
      </c>
      <c r="J174" t="str">
        <f t="shared" si="5"/>
        <v>update evaluasi set tahun = 1, nilai_maks = 100, nilai_input=100, bobot = 2, nilai_akhir = 2, id_indikator = 'C020250218' where id_evaluasi = '20250023_C020250402';</v>
      </c>
      <c r="P174" s="12"/>
      <c r="Q174" s="12"/>
    </row>
    <row r="175" spans="1:17" hidden="1" x14ac:dyDescent="0.35">
      <c r="A175" t="s">
        <v>293</v>
      </c>
      <c r="B175" t="s">
        <v>244</v>
      </c>
      <c r="C175" t="s">
        <v>68</v>
      </c>
      <c r="D175" t="s">
        <v>69</v>
      </c>
      <c r="E175" s="1">
        <v>1</v>
      </c>
      <c r="F175" s="1">
        <f>VLOOKUP(C175,m_indikator!$A$2:$F$30,5,TRUE)</f>
        <v>100</v>
      </c>
      <c r="G175" s="15">
        <v>100</v>
      </c>
      <c r="H175" s="1">
        <f>VLOOKUP(C175,m_indikator!$A$2:$F$30,6,TRUE)</f>
        <v>2</v>
      </c>
      <c r="I175" s="15">
        <f t="shared" si="4"/>
        <v>2</v>
      </c>
      <c r="J175" t="str">
        <f t="shared" si="5"/>
        <v>update evaluasi set tahun = 1, nilai_maks = 100, nilai_input=100, bobot = 2, nilai_akhir = 2, id_indikator = 'C020250218' where id_evaluasi = '20250024_C020250402';</v>
      </c>
      <c r="P175" s="12"/>
      <c r="Q175" s="12"/>
    </row>
    <row r="176" spans="1:17" hidden="1" x14ac:dyDescent="0.35">
      <c r="A176" t="s">
        <v>294</v>
      </c>
      <c r="B176" t="s">
        <v>244</v>
      </c>
      <c r="C176" t="s">
        <v>68</v>
      </c>
      <c r="D176" t="s">
        <v>69</v>
      </c>
      <c r="E176" s="1">
        <v>1</v>
      </c>
      <c r="F176" s="1">
        <f>VLOOKUP(C176,m_indikator!$A$2:$F$30,5,TRUE)</f>
        <v>100</v>
      </c>
      <c r="G176" s="15">
        <v>100</v>
      </c>
      <c r="H176" s="1">
        <f>VLOOKUP(C176,m_indikator!$A$2:$F$30,6,TRUE)</f>
        <v>2</v>
      </c>
      <c r="I176" s="15">
        <f t="shared" si="4"/>
        <v>2</v>
      </c>
      <c r="J176" t="str">
        <f t="shared" si="5"/>
        <v>update evaluasi set tahun = 1, nilai_maks = 100, nilai_input=100, bobot = 2, nilai_akhir = 2, id_indikator = 'C020250218' where id_evaluasi = '20250025_C020250402';</v>
      </c>
      <c r="P176" s="12"/>
      <c r="Q176" s="12"/>
    </row>
    <row r="177" spans="1:17" hidden="1" x14ac:dyDescent="0.35">
      <c r="A177" t="s">
        <v>295</v>
      </c>
      <c r="B177" t="s">
        <v>244</v>
      </c>
      <c r="C177" t="s">
        <v>68</v>
      </c>
      <c r="D177" t="s">
        <v>69</v>
      </c>
      <c r="E177" s="1">
        <v>1</v>
      </c>
      <c r="F177" s="1">
        <f>VLOOKUP(C177,m_indikator!$A$2:$F$30,5,TRUE)</f>
        <v>100</v>
      </c>
      <c r="G177" s="15">
        <v>70</v>
      </c>
      <c r="H177" s="1">
        <f>VLOOKUP(C177,m_indikator!$A$2:$F$30,6,TRUE)</f>
        <v>2</v>
      </c>
      <c r="I177" s="15">
        <f t="shared" si="4"/>
        <v>1.4</v>
      </c>
      <c r="J177" t="str">
        <f t="shared" si="5"/>
        <v>update evaluasi set tahun = 1, nilai_maks = 100, nilai_input=70, bobot = 2, nilai_akhir = 1.4, id_indikator = 'C020250218' where id_evaluasi = '20250026_C020250402';</v>
      </c>
      <c r="P177" s="12"/>
      <c r="Q177" s="12"/>
    </row>
    <row r="178" spans="1:17" hidden="1" x14ac:dyDescent="0.35">
      <c r="A178" t="s">
        <v>296</v>
      </c>
      <c r="B178" t="s">
        <v>244</v>
      </c>
      <c r="C178" t="s">
        <v>68</v>
      </c>
      <c r="D178" t="s">
        <v>69</v>
      </c>
      <c r="E178" s="1">
        <v>1</v>
      </c>
      <c r="F178" s="1">
        <f>VLOOKUP(C178,m_indikator!$A$2:$F$30,5,TRUE)</f>
        <v>100</v>
      </c>
      <c r="G178" s="15">
        <v>75</v>
      </c>
      <c r="H178" s="1">
        <f>VLOOKUP(C178,m_indikator!$A$2:$F$30,6,TRUE)</f>
        <v>2</v>
      </c>
      <c r="I178" s="15">
        <f t="shared" si="4"/>
        <v>1.5</v>
      </c>
      <c r="J178" t="str">
        <f t="shared" si="5"/>
        <v>update evaluasi set tahun = 1, nilai_maks = 100, nilai_input=75, bobot = 2, nilai_akhir = 1.5, id_indikator = 'C020250218' where id_evaluasi = '20250027_C020250402';</v>
      </c>
      <c r="P178" s="12"/>
      <c r="Q178" s="12"/>
    </row>
    <row r="179" spans="1:17" hidden="1" x14ac:dyDescent="0.35">
      <c r="A179" t="s">
        <v>297</v>
      </c>
      <c r="B179" t="s">
        <v>244</v>
      </c>
      <c r="C179" t="s">
        <v>68</v>
      </c>
      <c r="D179" t="s">
        <v>69</v>
      </c>
      <c r="E179" s="1">
        <v>1</v>
      </c>
      <c r="F179" s="1">
        <f>VLOOKUP(C179,m_indikator!$A$2:$F$30,5,TRUE)</f>
        <v>100</v>
      </c>
      <c r="G179" s="15">
        <v>100</v>
      </c>
      <c r="H179" s="1">
        <f>VLOOKUP(C179,m_indikator!$A$2:$F$30,6,TRUE)</f>
        <v>2</v>
      </c>
      <c r="I179" s="15">
        <f t="shared" si="4"/>
        <v>2</v>
      </c>
      <c r="J179" t="str">
        <f t="shared" si="5"/>
        <v>update evaluasi set tahun = 1, nilai_maks = 100, nilai_input=100, bobot = 2, nilai_akhir = 2, id_indikator = 'C020250218' where id_evaluasi = '20250028_C020250402';</v>
      </c>
      <c r="P179" s="12"/>
      <c r="Q179" s="12"/>
    </row>
    <row r="180" spans="1:17" hidden="1" x14ac:dyDescent="0.35">
      <c r="A180" t="s">
        <v>298</v>
      </c>
      <c r="B180" t="s">
        <v>244</v>
      </c>
      <c r="C180" t="s">
        <v>68</v>
      </c>
      <c r="D180" t="s">
        <v>69</v>
      </c>
      <c r="E180" s="1">
        <v>1</v>
      </c>
      <c r="F180" s="1">
        <f>VLOOKUP(C180,m_indikator!$A$2:$F$30,5,TRUE)</f>
        <v>100</v>
      </c>
      <c r="G180" s="15">
        <v>60</v>
      </c>
      <c r="H180" s="1">
        <f>VLOOKUP(C180,m_indikator!$A$2:$F$30,6,TRUE)</f>
        <v>2</v>
      </c>
      <c r="I180" s="15">
        <f t="shared" si="4"/>
        <v>1.2</v>
      </c>
      <c r="J180" t="str">
        <f t="shared" si="5"/>
        <v>update evaluasi set tahun = 1, nilai_maks = 100, nilai_input=60, bobot = 2, nilai_akhir = 1.2, id_indikator = 'C020250218' where id_evaluasi = '20250029_C020250402';</v>
      </c>
      <c r="P180" s="12"/>
      <c r="Q180" s="12"/>
    </row>
    <row r="181" spans="1:17" hidden="1" x14ac:dyDescent="0.35">
      <c r="A181" t="s">
        <v>299</v>
      </c>
      <c r="B181" t="s">
        <v>244</v>
      </c>
      <c r="C181" t="s">
        <v>68</v>
      </c>
      <c r="D181" t="s">
        <v>69</v>
      </c>
      <c r="E181" s="1">
        <v>1</v>
      </c>
      <c r="F181" s="1">
        <f>VLOOKUP(C181,m_indikator!$A$2:$F$30,5,TRUE)</f>
        <v>100</v>
      </c>
      <c r="G181" s="15">
        <v>100</v>
      </c>
      <c r="H181" s="1">
        <f>VLOOKUP(C181,m_indikator!$A$2:$F$30,6,TRUE)</f>
        <v>2</v>
      </c>
      <c r="I181" s="15">
        <f t="shared" si="4"/>
        <v>2</v>
      </c>
      <c r="J181" t="str">
        <f t="shared" si="5"/>
        <v>update evaluasi set tahun = 1, nilai_maks = 100, nilai_input=100, bobot = 2, nilai_akhir = 2, id_indikator = 'C020250218' where id_evaluasi = '20250030_C020250402';</v>
      </c>
      <c r="P181" s="12"/>
      <c r="Q181" s="12"/>
    </row>
    <row r="182" spans="1:17" hidden="1" x14ac:dyDescent="0.35">
      <c r="A182" t="s">
        <v>300</v>
      </c>
      <c r="B182" t="s">
        <v>244</v>
      </c>
      <c r="C182" t="s">
        <v>68</v>
      </c>
      <c r="D182" t="s">
        <v>69</v>
      </c>
      <c r="E182" s="1">
        <v>1</v>
      </c>
      <c r="F182" s="1">
        <f>VLOOKUP(C182,m_indikator!$A$2:$F$30,5,TRUE)</f>
        <v>100</v>
      </c>
      <c r="G182" s="15">
        <v>100</v>
      </c>
      <c r="H182" s="1">
        <f>VLOOKUP(C182,m_indikator!$A$2:$F$30,6,TRUE)</f>
        <v>2</v>
      </c>
      <c r="I182" s="15">
        <f t="shared" si="4"/>
        <v>2</v>
      </c>
      <c r="J182" t="str">
        <f t="shared" si="5"/>
        <v>update evaluasi set tahun = 1, nilai_maks = 100, nilai_input=100, bobot = 2, nilai_akhir = 2, id_indikator = 'C020250218' where id_evaluasi = '20250031_C020250402';</v>
      </c>
      <c r="P182" s="12"/>
      <c r="Q182" s="12"/>
    </row>
    <row r="183" spans="1:17" hidden="1" x14ac:dyDescent="0.35">
      <c r="A183" t="s">
        <v>301</v>
      </c>
      <c r="B183" t="s">
        <v>244</v>
      </c>
      <c r="C183" t="s">
        <v>68</v>
      </c>
      <c r="D183" t="s">
        <v>69</v>
      </c>
      <c r="E183" s="1">
        <v>1</v>
      </c>
      <c r="F183" s="1">
        <f>VLOOKUP(C183,m_indikator!$A$2:$F$30,5,TRUE)</f>
        <v>100</v>
      </c>
      <c r="G183" s="15">
        <v>100</v>
      </c>
      <c r="H183" s="1">
        <f>VLOOKUP(C183,m_indikator!$A$2:$F$30,6,TRUE)</f>
        <v>2</v>
      </c>
      <c r="I183" s="15">
        <f t="shared" si="4"/>
        <v>2</v>
      </c>
      <c r="J183" t="str">
        <f t="shared" si="5"/>
        <v>update evaluasi set tahun = 1, nilai_maks = 100, nilai_input=100, bobot = 2, nilai_akhir = 2, id_indikator = 'C020250218' where id_evaluasi = '20250032_C020250402';</v>
      </c>
      <c r="P183" s="12"/>
      <c r="Q183" s="12"/>
    </row>
    <row r="184" spans="1:17" hidden="1" x14ac:dyDescent="0.35">
      <c r="A184" t="s">
        <v>302</v>
      </c>
      <c r="B184" t="s">
        <v>244</v>
      </c>
      <c r="C184" t="s">
        <v>68</v>
      </c>
      <c r="D184" t="s">
        <v>69</v>
      </c>
      <c r="E184" s="1">
        <v>1</v>
      </c>
      <c r="F184" s="1">
        <f>VLOOKUP(C184,m_indikator!$A$2:$F$30,5,TRUE)</f>
        <v>100</v>
      </c>
      <c r="G184" s="15">
        <v>100</v>
      </c>
      <c r="H184" s="1">
        <f>VLOOKUP(C184,m_indikator!$A$2:$F$30,6,TRUE)</f>
        <v>2</v>
      </c>
      <c r="I184" s="15">
        <f t="shared" si="4"/>
        <v>2</v>
      </c>
      <c r="J184" t="str">
        <f t="shared" si="5"/>
        <v>update evaluasi set tahun = 1, nilai_maks = 100, nilai_input=100, bobot = 2, nilai_akhir = 2, id_indikator = 'C020250218' where id_evaluasi = '20250033_C020250402';</v>
      </c>
      <c r="P184" s="12"/>
      <c r="Q184" s="12"/>
    </row>
    <row r="185" spans="1:17" hidden="1" x14ac:dyDescent="0.35">
      <c r="A185" t="s">
        <v>303</v>
      </c>
      <c r="B185" t="s">
        <v>244</v>
      </c>
      <c r="C185" t="s">
        <v>68</v>
      </c>
      <c r="D185" t="s">
        <v>69</v>
      </c>
      <c r="E185" s="1">
        <v>1</v>
      </c>
      <c r="F185" s="1">
        <f>VLOOKUP(C185,m_indikator!$A$2:$F$30,5,TRUE)</f>
        <v>100</v>
      </c>
      <c r="G185" s="15">
        <v>100</v>
      </c>
      <c r="H185" s="1">
        <f>VLOOKUP(C185,m_indikator!$A$2:$F$30,6,TRUE)</f>
        <v>2</v>
      </c>
      <c r="I185" s="15">
        <f t="shared" si="4"/>
        <v>2</v>
      </c>
      <c r="J185" t="str">
        <f t="shared" si="5"/>
        <v>update evaluasi set tahun = 1, nilai_maks = 100, nilai_input=100, bobot = 2, nilai_akhir = 2, id_indikator = 'C020250218' where id_evaluasi = '20250034_C020250402';</v>
      </c>
      <c r="P185" s="12"/>
      <c r="Q185" s="12"/>
    </row>
    <row r="186" spans="1:17" hidden="1" x14ac:dyDescent="0.35">
      <c r="A186" t="s">
        <v>304</v>
      </c>
      <c r="B186" t="s">
        <v>244</v>
      </c>
      <c r="C186" t="s">
        <v>68</v>
      </c>
      <c r="D186" t="s">
        <v>69</v>
      </c>
      <c r="E186" s="1">
        <v>1</v>
      </c>
      <c r="F186" s="1">
        <f>VLOOKUP(C186,m_indikator!$A$2:$F$30,5,TRUE)</f>
        <v>100</v>
      </c>
      <c r="G186" s="15">
        <v>90</v>
      </c>
      <c r="H186" s="1">
        <f>VLOOKUP(C186,m_indikator!$A$2:$F$30,6,TRUE)</f>
        <v>2</v>
      </c>
      <c r="I186" s="15">
        <f t="shared" si="4"/>
        <v>1.8</v>
      </c>
      <c r="J186" t="str">
        <f t="shared" si="5"/>
        <v>update evaluasi set tahun = 1, nilai_maks = 100, nilai_input=90, bobot = 2, nilai_akhir = 1.8, id_indikator = 'C020250218' where id_evaluasi = '20250035_C020250402';</v>
      </c>
      <c r="P186" s="12"/>
      <c r="Q186" s="12"/>
    </row>
    <row r="187" spans="1:17" hidden="1" x14ac:dyDescent="0.35">
      <c r="A187" t="s">
        <v>305</v>
      </c>
      <c r="B187" t="s">
        <v>244</v>
      </c>
      <c r="C187" t="s">
        <v>68</v>
      </c>
      <c r="D187" t="s">
        <v>69</v>
      </c>
      <c r="E187" s="1">
        <v>1</v>
      </c>
      <c r="F187" s="1">
        <f>VLOOKUP(C187,m_indikator!$A$2:$F$30,5,TRUE)</f>
        <v>100</v>
      </c>
      <c r="G187" s="15">
        <v>100</v>
      </c>
      <c r="H187" s="1">
        <f>VLOOKUP(C187,m_indikator!$A$2:$F$30,6,TRUE)</f>
        <v>2</v>
      </c>
      <c r="I187" s="15">
        <f t="shared" si="4"/>
        <v>2</v>
      </c>
      <c r="J187" t="str">
        <f t="shared" si="5"/>
        <v>update evaluasi set tahun = 1, nilai_maks = 100, nilai_input=100, bobot = 2, nilai_akhir = 2, id_indikator = 'C020250218' where id_evaluasi = '20250036_C020250402';</v>
      </c>
      <c r="P187" s="12"/>
      <c r="Q187" s="12"/>
    </row>
    <row r="188" spans="1:17" hidden="1" x14ac:dyDescent="0.35">
      <c r="A188" t="s">
        <v>306</v>
      </c>
      <c r="B188" t="s">
        <v>244</v>
      </c>
      <c r="C188" t="s">
        <v>68</v>
      </c>
      <c r="D188" t="s">
        <v>69</v>
      </c>
      <c r="E188" s="1">
        <v>1</v>
      </c>
      <c r="F188" s="1">
        <f>VLOOKUP(C188,m_indikator!$A$2:$F$30,5,TRUE)</f>
        <v>100</v>
      </c>
      <c r="G188" s="15">
        <v>100</v>
      </c>
      <c r="H188" s="1">
        <f>VLOOKUP(C188,m_indikator!$A$2:$F$30,6,TRUE)</f>
        <v>2</v>
      </c>
      <c r="I188" s="15">
        <f t="shared" si="4"/>
        <v>2</v>
      </c>
      <c r="J188" t="str">
        <f t="shared" si="5"/>
        <v>update evaluasi set tahun = 1, nilai_maks = 100, nilai_input=100, bobot = 2, nilai_akhir = 2, id_indikator = 'C020250218' where id_evaluasi = '20250037_C020250402';</v>
      </c>
      <c r="P188" s="12"/>
      <c r="Q188" s="12"/>
    </row>
    <row r="189" spans="1:17" hidden="1" x14ac:dyDescent="0.35">
      <c r="A189" t="s">
        <v>307</v>
      </c>
      <c r="B189" t="s">
        <v>244</v>
      </c>
      <c r="C189" t="s">
        <v>68</v>
      </c>
      <c r="D189" t="s">
        <v>69</v>
      </c>
      <c r="E189" s="1">
        <v>1</v>
      </c>
      <c r="F189" s="1">
        <f>VLOOKUP(C189,m_indikator!$A$2:$F$30,5,TRUE)</f>
        <v>100</v>
      </c>
      <c r="G189" s="15">
        <v>100</v>
      </c>
      <c r="H189" s="1">
        <f>VLOOKUP(C189,m_indikator!$A$2:$F$30,6,TRUE)</f>
        <v>2</v>
      </c>
      <c r="I189" s="15">
        <f t="shared" si="4"/>
        <v>2</v>
      </c>
      <c r="J189" t="str">
        <f t="shared" si="5"/>
        <v>update evaluasi set tahun = 1, nilai_maks = 100, nilai_input=100, bobot = 2, nilai_akhir = 2, id_indikator = 'C020250218' where id_evaluasi = '20250038_C020250402';</v>
      </c>
      <c r="P189" s="12"/>
      <c r="Q189" s="12"/>
    </row>
    <row r="190" spans="1:17" hidden="1" x14ac:dyDescent="0.35">
      <c r="A190" t="s">
        <v>243</v>
      </c>
      <c r="B190" t="s">
        <v>244</v>
      </c>
      <c r="C190" t="s">
        <v>68</v>
      </c>
      <c r="D190" t="s">
        <v>69</v>
      </c>
      <c r="E190" s="1">
        <v>1</v>
      </c>
      <c r="F190" s="1">
        <f>VLOOKUP(C190,m_indikator!$A$2:$F$30,5,TRUE)</f>
        <v>100</v>
      </c>
      <c r="G190" s="15">
        <v>90</v>
      </c>
      <c r="H190" s="1">
        <f>VLOOKUP(C190,m_indikator!$A$2:$F$30,6,TRUE)</f>
        <v>2</v>
      </c>
      <c r="I190" s="15">
        <f t="shared" si="4"/>
        <v>1.8</v>
      </c>
      <c r="J190" t="str">
        <f t="shared" si="5"/>
        <v>update evaluasi set tahun = 1, nilai_maks = 100, nilai_input=90, bobot = 2, nilai_akhir = 1.8, id_indikator = 'C020250218' where id_evaluasi = '20250039_C020250402';</v>
      </c>
      <c r="P190" s="12"/>
      <c r="Q190" s="12"/>
    </row>
    <row r="191" spans="1:17" hidden="1" x14ac:dyDescent="0.35">
      <c r="A191" t="s">
        <v>245</v>
      </c>
      <c r="B191" t="s">
        <v>244</v>
      </c>
      <c r="C191" t="s">
        <v>68</v>
      </c>
      <c r="D191" t="s">
        <v>69</v>
      </c>
      <c r="E191" s="1">
        <v>1</v>
      </c>
      <c r="F191" s="1">
        <f>VLOOKUP(C191,m_indikator!$A$2:$F$30,5,TRUE)</f>
        <v>100</v>
      </c>
      <c r="G191" s="15">
        <v>100</v>
      </c>
      <c r="H191" s="1">
        <f>VLOOKUP(C191,m_indikator!$A$2:$F$30,6,TRUE)</f>
        <v>2</v>
      </c>
      <c r="I191" s="15">
        <f t="shared" si="4"/>
        <v>2</v>
      </c>
      <c r="J191" t="str">
        <f t="shared" si="5"/>
        <v>update evaluasi set tahun = 1, nilai_maks = 100, nilai_input=100, bobot = 2, nilai_akhir = 2, id_indikator = 'C020250218' where id_evaluasi = '20250040_C020250402';</v>
      </c>
      <c r="P191" s="12"/>
      <c r="Q191" s="12"/>
    </row>
    <row r="192" spans="1:17" hidden="1" x14ac:dyDescent="0.35">
      <c r="A192" t="s">
        <v>246</v>
      </c>
      <c r="B192" t="s">
        <v>244</v>
      </c>
      <c r="C192" t="s">
        <v>68</v>
      </c>
      <c r="D192" t="s">
        <v>69</v>
      </c>
      <c r="E192" s="1">
        <v>1</v>
      </c>
      <c r="F192" s="1">
        <f>VLOOKUP(C192,m_indikator!$A$2:$F$30,5,TRUE)</f>
        <v>100</v>
      </c>
      <c r="G192" s="15">
        <v>100</v>
      </c>
      <c r="H192" s="1">
        <f>VLOOKUP(C192,m_indikator!$A$2:$F$30,6,TRUE)</f>
        <v>2</v>
      </c>
      <c r="I192" s="15">
        <f t="shared" si="4"/>
        <v>2</v>
      </c>
      <c r="J192" t="str">
        <f t="shared" si="5"/>
        <v>update evaluasi set tahun = 1, nilai_maks = 100, nilai_input=100, bobot = 2, nilai_akhir = 2, id_indikator = 'C020250218' where id_evaluasi = '20250041_C020250402';</v>
      </c>
      <c r="P192" s="12"/>
      <c r="Q192" s="12"/>
    </row>
    <row r="193" spans="1:17" hidden="1" x14ac:dyDescent="0.35">
      <c r="A193" t="s">
        <v>247</v>
      </c>
      <c r="B193" t="s">
        <v>244</v>
      </c>
      <c r="C193" t="s">
        <v>68</v>
      </c>
      <c r="D193" t="s">
        <v>69</v>
      </c>
      <c r="E193" s="1">
        <v>1</v>
      </c>
      <c r="F193" s="1">
        <f>VLOOKUP(C193,m_indikator!$A$2:$F$30,5,TRUE)</f>
        <v>100</v>
      </c>
      <c r="G193" s="15">
        <v>100</v>
      </c>
      <c r="H193" s="1">
        <f>VLOOKUP(C193,m_indikator!$A$2:$F$30,6,TRUE)</f>
        <v>2</v>
      </c>
      <c r="I193" s="15">
        <f t="shared" si="4"/>
        <v>2</v>
      </c>
      <c r="J193" t="str">
        <f t="shared" si="5"/>
        <v>update evaluasi set tahun = 1, nilai_maks = 100, nilai_input=100, bobot = 2, nilai_akhir = 2, id_indikator = 'C020250218' where id_evaluasi = '20250042_C020250402';</v>
      </c>
      <c r="P193" s="12"/>
      <c r="Q193" s="12"/>
    </row>
    <row r="194" spans="1:17" hidden="1" x14ac:dyDescent="0.35">
      <c r="A194" t="s">
        <v>248</v>
      </c>
      <c r="B194" t="s">
        <v>244</v>
      </c>
      <c r="C194" t="s">
        <v>68</v>
      </c>
      <c r="D194" t="s">
        <v>69</v>
      </c>
      <c r="E194" s="1">
        <v>1</v>
      </c>
      <c r="F194" s="1">
        <f>VLOOKUP(C194,m_indikator!$A$2:$F$30,5,TRUE)</f>
        <v>100</v>
      </c>
      <c r="G194" s="15">
        <v>100</v>
      </c>
      <c r="H194" s="1">
        <f>VLOOKUP(C194,m_indikator!$A$2:$F$30,6,TRUE)</f>
        <v>2</v>
      </c>
      <c r="I194" s="15">
        <f t="shared" ref="I194:I257" si="6">(G194/F194)*H194</f>
        <v>2</v>
      </c>
      <c r="J194" t="str">
        <f t="shared" ref="J194:J257" si="7">"update evaluasi set tahun = "&amp;E194&amp;", nilai_maks = "&amp;F194&amp;", nilai_input="&amp;G194&amp;", bobot = "&amp;H194&amp;", nilai_akhir = "&amp;I194&amp;", id_indikator = '"&amp;C194&amp;"' where id_evaluasi = '"&amp;A194&amp;"';"</f>
        <v>update evaluasi set tahun = 1, nilai_maks = 100, nilai_input=100, bobot = 2, nilai_akhir = 2, id_indikator = 'C020250218' where id_evaluasi = '20250043_C020250402';</v>
      </c>
      <c r="P194" s="12"/>
      <c r="Q194" s="12"/>
    </row>
    <row r="195" spans="1:17" hidden="1" x14ac:dyDescent="0.35">
      <c r="A195" t="s">
        <v>249</v>
      </c>
      <c r="B195" t="s">
        <v>244</v>
      </c>
      <c r="C195" t="s">
        <v>68</v>
      </c>
      <c r="D195" t="s">
        <v>69</v>
      </c>
      <c r="E195" s="1">
        <v>1</v>
      </c>
      <c r="F195" s="1">
        <f>VLOOKUP(C195,m_indikator!$A$2:$F$30,5,TRUE)</f>
        <v>100</v>
      </c>
      <c r="G195" s="15">
        <v>100</v>
      </c>
      <c r="H195" s="1">
        <f>VLOOKUP(C195,m_indikator!$A$2:$F$30,6,TRUE)</f>
        <v>2</v>
      </c>
      <c r="I195" s="15">
        <f t="shared" si="6"/>
        <v>2</v>
      </c>
      <c r="J195" t="str">
        <f t="shared" si="7"/>
        <v>update evaluasi set tahun = 1, nilai_maks = 100, nilai_input=100, bobot = 2, nilai_akhir = 2, id_indikator = 'C020250218' where id_evaluasi = '20250044_C020250402';</v>
      </c>
      <c r="P195" s="12"/>
      <c r="Q195" s="12"/>
    </row>
    <row r="196" spans="1:17" hidden="1" x14ac:dyDescent="0.35">
      <c r="A196" t="s">
        <v>250</v>
      </c>
      <c r="B196" t="s">
        <v>244</v>
      </c>
      <c r="C196" t="s">
        <v>68</v>
      </c>
      <c r="D196" t="s">
        <v>69</v>
      </c>
      <c r="E196" s="1">
        <v>1</v>
      </c>
      <c r="F196" s="1">
        <f>VLOOKUP(C196,m_indikator!$A$2:$F$30,5,TRUE)</f>
        <v>100</v>
      </c>
      <c r="G196" s="15">
        <v>100</v>
      </c>
      <c r="H196" s="1">
        <f>VLOOKUP(C196,m_indikator!$A$2:$F$30,6,TRUE)</f>
        <v>2</v>
      </c>
      <c r="I196" s="15">
        <f t="shared" si="6"/>
        <v>2</v>
      </c>
      <c r="J196" t="str">
        <f t="shared" si="7"/>
        <v>update evaluasi set tahun = 1, nilai_maks = 100, nilai_input=100, bobot = 2, nilai_akhir = 2, id_indikator = 'C020250218' where id_evaluasi = '20250045_C020250402';</v>
      </c>
      <c r="P196" s="12"/>
      <c r="Q196" s="12"/>
    </row>
    <row r="197" spans="1:17" hidden="1" x14ac:dyDescent="0.35">
      <c r="A197" t="s">
        <v>251</v>
      </c>
      <c r="B197" t="s">
        <v>244</v>
      </c>
      <c r="C197" t="s">
        <v>68</v>
      </c>
      <c r="D197" t="s">
        <v>69</v>
      </c>
      <c r="E197" s="1">
        <v>1</v>
      </c>
      <c r="F197" s="1">
        <f>VLOOKUP(C197,m_indikator!$A$2:$F$30,5,TRUE)</f>
        <v>100</v>
      </c>
      <c r="G197" s="15">
        <v>100</v>
      </c>
      <c r="H197" s="1">
        <f>VLOOKUP(C197,m_indikator!$A$2:$F$30,6,TRUE)</f>
        <v>2</v>
      </c>
      <c r="I197" s="15">
        <f t="shared" si="6"/>
        <v>2</v>
      </c>
      <c r="J197" t="str">
        <f t="shared" si="7"/>
        <v>update evaluasi set tahun = 1, nilai_maks = 100, nilai_input=100, bobot = 2, nilai_akhir = 2, id_indikator = 'C020250218' where id_evaluasi = '20250046_C020250402';</v>
      </c>
      <c r="P197" s="12"/>
      <c r="Q197" s="12"/>
    </row>
    <row r="198" spans="1:17" hidden="1" x14ac:dyDescent="0.35">
      <c r="A198" t="s">
        <v>252</v>
      </c>
      <c r="B198" t="s">
        <v>244</v>
      </c>
      <c r="C198" t="s">
        <v>68</v>
      </c>
      <c r="D198" t="s">
        <v>69</v>
      </c>
      <c r="E198" s="1">
        <v>1</v>
      </c>
      <c r="F198" s="1">
        <f>VLOOKUP(C198,m_indikator!$A$2:$F$30,5,TRUE)</f>
        <v>100</v>
      </c>
      <c r="G198" s="15">
        <v>100</v>
      </c>
      <c r="H198" s="1">
        <f>VLOOKUP(C198,m_indikator!$A$2:$F$30,6,TRUE)</f>
        <v>2</v>
      </c>
      <c r="I198" s="15">
        <f t="shared" si="6"/>
        <v>2</v>
      </c>
      <c r="J198" t="str">
        <f t="shared" si="7"/>
        <v>update evaluasi set tahun = 1, nilai_maks = 100, nilai_input=100, bobot = 2, nilai_akhir = 2, id_indikator = 'C020250218' where id_evaluasi = '20250047_C020250402';</v>
      </c>
      <c r="P198" s="12"/>
      <c r="Q198" s="12"/>
    </row>
    <row r="199" spans="1:17" hidden="1" x14ac:dyDescent="0.35">
      <c r="A199" t="s">
        <v>253</v>
      </c>
      <c r="B199" t="s">
        <v>244</v>
      </c>
      <c r="C199" t="s">
        <v>68</v>
      </c>
      <c r="D199" t="s">
        <v>69</v>
      </c>
      <c r="E199" s="1">
        <v>1</v>
      </c>
      <c r="F199" s="1">
        <f>VLOOKUP(C199,m_indikator!$A$2:$F$30,5,TRUE)</f>
        <v>100</v>
      </c>
      <c r="G199" s="15">
        <v>100</v>
      </c>
      <c r="H199" s="1">
        <f>VLOOKUP(C199,m_indikator!$A$2:$F$30,6,TRUE)</f>
        <v>2</v>
      </c>
      <c r="I199" s="15">
        <f t="shared" si="6"/>
        <v>2</v>
      </c>
      <c r="J199" t="str">
        <f t="shared" si="7"/>
        <v>update evaluasi set tahun = 1, nilai_maks = 100, nilai_input=100, bobot = 2, nilai_akhir = 2, id_indikator = 'C020250218' where id_evaluasi = '20250048_C020250402';</v>
      </c>
      <c r="P199" s="12"/>
      <c r="Q199" s="12"/>
    </row>
    <row r="200" spans="1:17" hidden="1" x14ac:dyDescent="0.35">
      <c r="A200" t="s">
        <v>254</v>
      </c>
      <c r="B200" t="s">
        <v>244</v>
      </c>
      <c r="C200" t="s">
        <v>68</v>
      </c>
      <c r="D200" t="s">
        <v>69</v>
      </c>
      <c r="E200" s="1">
        <v>1</v>
      </c>
      <c r="F200" s="1">
        <f>VLOOKUP(C200,m_indikator!$A$2:$F$30,5,TRUE)</f>
        <v>100</v>
      </c>
      <c r="G200" s="15">
        <v>100</v>
      </c>
      <c r="H200" s="1">
        <f>VLOOKUP(C200,m_indikator!$A$2:$F$30,6,TRUE)</f>
        <v>2</v>
      </c>
      <c r="I200" s="15">
        <f t="shared" si="6"/>
        <v>2</v>
      </c>
      <c r="J200" t="str">
        <f t="shared" si="7"/>
        <v>update evaluasi set tahun = 1, nilai_maks = 100, nilai_input=100, bobot = 2, nilai_akhir = 2, id_indikator = 'C020250218' where id_evaluasi = '20250049_C020250402';</v>
      </c>
      <c r="P200" s="12"/>
      <c r="Q200" s="12"/>
    </row>
    <row r="201" spans="1:17" hidden="1" x14ac:dyDescent="0.35">
      <c r="A201" t="s">
        <v>255</v>
      </c>
      <c r="B201" t="s">
        <v>244</v>
      </c>
      <c r="C201" t="s">
        <v>68</v>
      </c>
      <c r="D201" t="s">
        <v>69</v>
      </c>
      <c r="E201" s="1">
        <v>1</v>
      </c>
      <c r="F201" s="1">
        <f>VLOOKUP(C201,m_indikator!$A$2:$F$30,5,TRUE)</f>
        <v>100</v>
      </c>
      <c r="G201" s="15">
        <v>100</v>
      </c>
      <c r="H201" s="1">
        <f>VLOOKUP(C201,m_indikator!$A$2:$F$30,6,TRUE)</f>
        <v>2</v>
      </c>
      <c r="I201" s="15">
        <f t="shared" si="6"/>
        <v>2</v>
      </c>
      <c r="J201" t="str">
        <f t="shared" si="7"/>
        <v>update evaluasi set tahun = 1, nilai_maks = 100, nilai_input=100, bobot = 2, nilai_akhir = 2, id_indikator = 'C020250218' where id_evaluasi = '20250050_C020250402';</v>
      </c>
      <c r="P201" s="12"/>
      <c r="Q201" s="12"/>
    </row>
    <row r="202" spans="1:17" hidden="1" x14ac:dyDescent="0.35">
      <c r="A202" t="s">
        <v>256</v>
      </c>
      <c r="B202" t="s">
        <v>244</v>
      </c>
      <c r="C202" t="s">
        <v>68</v>
      </c>
      <c r="D202" t="s">
        <v>69</v>
      </c>
      <c r="E202" s="1">
        <v>1</v>
      </c>
      <c r="F202" s="1">
        <f>VLOOKUP(C202,m_indikator!$A$2:$F$30,5,TRUE)</f>
        <v>100</v>
      </c>
      <c r="G202" s="15">
        <v>100</v>
      </c>
      <c r="H202" s="1">
        <f>VLOOKUP(C202,m_indikator!$A$2:$F$30,6,TRUE)</f>
        <v>2</v>
      </c>
      <c r="I202" s="15">
        <f t="shared" si="6"/>
        <v>2</v>
      </c>
      <c r="J202" t="str">
        <f t="shared" si="7"/>
        <v>update evaluasi set tahun = 1, nilai_maks = 100, nilai_input=100, bobot = 2, nilai_akhir = 2, id_indikator = 'C020250218' where id_evaluasi = '20250051_C020250402';</v>
      </c>
      <c r="P202" s="12"/>
      <c r="Q202" s="12"/>
    </row>
    <row r="203" spans="1:17" hidden="1" x14ac:dyDescent="0.35">
      <c r="A203" t="s">
        <v>257</v>
      </c>
      <c r="B203" t="s">
        <v>244</v>
      </c>
      <c r="C203" t="s">
        <v>68</v>
      </c>
      <c r="D203" t="s">
        <v>69</v>
      </c>
      <c r="E203" s="1">
        <v>1</v>
      </c>
      <c r="F203" s="1">
        <f>VLOOKUP(C203,m_indikator!$A$2:$F$30,5,TRUE)</f>
        <v>100</v>
      </c>
      <c r="G203" s="15">
        <v>100</v>
      </c>
      <c r="H203" s="1">
        <f>VLOOKUP(C203,m_indikator!$A$2:$F$30,6,TRUE)</f>
        <v>2</v>
      </c>
      <c r="I203" s="15">
        <f t="shared" si="6"/>
        <v>2</v>
      </c>
      <c r="J203" t="str">
        <f t="shared" si="7"/>
        <v>update evaluasi set tahun = 1, nilai_maks = 100, nilai_input=100, bobot = 2, nilai_akhir = 2, id_indikator = 'C020250218' where id_evaluasi = '20250052_C020250402';</v>
      </c>
      <c r="P203" s="12"/>
      <c r="Q203" s="12"/>
    </row>
    <row r="204" spans="1:17" hidden="1" x14ac:dyDescent="0.35">
      <c r="A204" t="s">
        <v>258</v>
      </c>
      <c r="B204" t="s">
        <v>244</v>
      </c>
      <c r="C204" t="s">
        <v>68</v>
      </c>
      <c r="D204" t="s">
        <v>69</v>
      </c>
      <c r="E204" s="1">
        <v>1</v>
      </c>
      <c r="F204" s="1">
        <f>VLOOKUP(C204,m_indikator!$A$2:$F$30,5,TRUE)</f>
        <v>100</v>
      </c>
      <c r="G204" s="15">
        <v>100</v>
      </c>
      <c r="H204" s="1">
        <f>VLOOKUP(C204,m_indikator!$A$2:$F$30,6,TRUE)</f>
        <v>2</v>
      </c>
      <c r="I204" s="15">
        <f t="shared" si="6"/>
        <v>2</v>
      </c>
      <c r="J204" t="str">
        <f t="shared" si="7"/>
        <v>update evaluasi set tahun = 1, nilai_maks = 100, nilai_input=100, bobot = 2, nilai_akhir = 2, id_indikator = 'C020250218' where id_evaluasi = '20250053_C020250402';</v>
      </c>
      <c r="P204" s="12"/>
      <c r="Q204" s="12"/>
    </row>
    <row r="205" spans="1:17" hidden="1" x14ac:dyDescent="0.35">
      <c r="A205" t="s">
        <v>259</v>
      </c>
      <c r="B205" t="s">
        <v>244</v>
      </c>
      <c r="C205" t="s">
        <v>68</v>
      </c>
      <c r="D205" t="s">
        <v>69</v>
      </c>
      <c r="E205" s="1">
        <v>1</v>
      </c>
      <c r="F205" s="1">
        <f>VLOOKUP(C205,m_indikator!$A$2:$F$30,5,TRUE)</f>
        <v>100</v>
      </c>
      <c r="G205" s="15">
        <v>100</v>
      </c>
      <c r="H205" s="1">
        <f>VLOOKUP(C205,m_indikator!$A$2:$F$30,6,TRUE)</f>
        <v>2</v>
      </c>
      <c r="I205" s="15">
        <f t="shared" si="6"/>
        <v>2</v>
      </c>
      <c r="J205" t="str">
        <f t="shared" si="7"/>
        <v>update evaluasi set tahun = 1, nilai_maks = 100, nilai_input=100, bobot = 2, nilai_akhir = 2, id_indikator = 'C020250218' where id_evaluasi = '20250054_C020250402';</v>
      </c>
      <c r="P205" s="12"/>
      <c r="Q205" s="12"/>
    </row>
    <row r="206" spans="1:17" hidden="1" x14ac:dyDescent="0.35">
      <c r="A206" t="s">
        <v>260</v>
      </c>
      <c r="B206" t="s">
        <v>244</v>
      </c>
      <c r="C206" t="s">
        <v>68</v>
      </c>
      <c r="D206" t="s">
        <v>69</v>
      </c>
      <c r="E206" s="1">
        <v>1</v>
      </c>
      <c r="F206" s="1">
        <f>VLOOKUP(C206,m_indikator!$A$2:$F$30,5,TRUE)</f>
        <v>100</v>
      </c>
      <c r="G206" s="15">
        <v>100</v>
      </c>
      <c r="H206" s="1">
        <f>VLOOKUP(C206,m_indikator!$A$2:$F$30,6,TRUE)</f>
        <v>2</v>
      </c>
      <c r="I206" s="15">
        <f t="shared" si="6"/>
        <v>2</v>
      </c>
      <c r="J206" t="str">
        <f t="shared" si="7"/>
        <v>update evaluasi set tahun = 1, nilai_maks = 100, nilai_input=100, bobot = 2, nilai_akhir = 2, id_indikator = 'C020250218' where id_evaluasi = '20250055_C020250402';</v>
      </c>
      <c r="P206" s="12"/>
      <c r="Q206" s="12"/>
    </row>
    <row r="207" spans="1:17" hidden="1" x14ac:dyDescent="0.35">
      <c r="A207" t="s">
        <v>261</v>
      </c>
      <c r="B207" t="s">
        <v>244</v>
      </c>
      <c r="C207" t="s">
        <v>68</v>
      </c>
      <c r="D207" t="s">
        <v>69</v>
      </c>
      <c r="E207" s="1">
        <v>1</v>
      </c>
      <c r="F207" s="1">
        <f>VLOOKUP(C207,m_indikator!$A$2:$F$30,5,TRUE)</f>
        <v>100</v>
      </c>
      <c r="G207" s="15">
        <v>100</v>
      </c>
      <c r="H207" s="1">
        <f>VLOOKUP(C207,m_indikator!$A$2:$F$30,6,TRUE)</f>
        <v>2</v>
      </c>
      <c r="I207" s="15">
        <f t="shared" si="6"/>
        <v>2</v>
      </c>
      <c r="J207" t="str">
        <f t="shared" si="7"/>
        <v>update evaluasi set tahun = 1, nilai_maks = 100, nilai_input=100, bobot = 2, nilai_akhir = 2, id_indikator = 'C020250218' where id_evaluasi = '20250095_C020250402';</v>
      </c>
      <c r="P207" s="12"/>
      <c r="Q207" s="12"/>
    </row>
    <row r="208" spans="1:17" hidden="1" x14ac:dyDescent="0.35">
      <c r="A208" t="s">
        <v>262</v>
      </c>
      <c r="B208" t="s">
        <v>244</v>
      </c>
      <c r="C208" t="s">
        <v>68</v>
      </c>
      <c r="D208" t="s">
        <v>69</v>
      </c>
      <c r="E208" s="1">
        <v>1</v>
      </c>
      <c r="F208" s="1">
        <f>VLOOKUP(C208,m_indikator!$A$2:$F$30,5,TRUE)</f>
        <v>100</v>
      </c>
      <c r="G208" s="15">
        <v>100</v>
      </c>
      <c r="H208" s="1">
        <f>VLOOKUP(C208,m_indikator!$A$2:$F$30,6,TRUE)</f>
        <v>2</v>
      </c>
      <c r="I208" s="15">
        <f t="shared" si="6"/>
        <v>2</v>
      </c>
      <c r="J208" t="str">
        <f t="shared" si="7"/>
        <v>update evaluasi set tahun = 1, nilai_maks = 100, nilai_input=100, bobot = 2, nilai_akhir = 2, id_indikator = 'C020250218' where id_evaluasi = '20250103_C020250402';</v>
      </c>
      <c r="P208" s="12"/>
      <c r="Q208" s="12"/>
    </row>
    <row r="209" spans="1:17" hidden="1" x14ac:dyDescent="0.35">
      <c r="A209" t="s">
        <v>263</v>
      </c>
      <c r="B209" t="s">
        <v>244</v>
      </c>
      <c r="C209" t="s">
        <v>68</v>
      </c>
      <c r="D209" t="s">
        <v>69</v>
      </c>
      <c r="E209" s="1">
        <v>1</v>
      </c>
      <c r="F209" s="1">
        <f>VLOOKUP(C209,m_indikator!$A$2:$F$30,5,TRUE)</f>
        <v>100</v>
      </c>
      <c r="G209" s="15">
        <v>100</v>
      </c>
      <c r="H209" s="1">
        <f>VLOOKUP(C209,m_indikator!$A$2:$F$30,6,TRUE)</f>
        <v>2</v>
      </c>
      <c r="I209" s="15">
        <f t="shared" si="6"/>
        <v>2</v>
      </c>
      <c r="J209" t="str">
        <f t="shared" si="7"/>
        <v>update evaluasi set tahun = 1, nilai_maks = 100, nilai_input=100, bobot = 2, nilai_akhir = 2, id_indikator = 'C020250218' where id_evaluasi = '20250104_C020250402';</v>
      </c>
      <c r="P209" s="12"/>
      <c r="Q209" s="12"/>
    </row>
    <row r="210" spans="1:17" hidden="1" x14ac:dyDescent="0.35">
      <c r="A210" t="s">
        <v>264</v>
      </c>
      <c r="B210" t="s">
        <v>244</v>
      </c>
      <c r="C210" t="s">
        <v>68</v>
      </c>
      <c r="D210" t="s">
        <v>69</v>
      </c>
      <c r="E210" s="1">
        <v>1</v>
      </c>
      <c r="F210" s="1">
        <f>VLOOKUP(C210,m_indikator!$A$2:$F$30,5,TRUE)</f>
        <v>100</v>
      </c>
      <c r="G210" s="15">
        <v>100</v>
      </c>
      <c r="H210" s="1">
        <f>VLOOKUP(C210,m_indikator!$A$2:$F$30,6,TRUE)</f>
        <v>2</v>
      </c>
      <c r="I210" s="15">
        <f t="shared" si="6"/>
        <v>2</v>
      </c>
      <c r="J210" t="str">
        <f t="shared" si="7"/>
        <v>update evaluasi set tahun = 1, nilai_maks = 100, nilai_input=100, bobot = 2, nilai_akhir = 2, id_indikator = 'C020250218' where id_evaluasi = '20250105_C020250402';</v>
      </c>
      <c r="P210" s="12"/>
      <c r="Q210" s="12"/>
    </row>
    <row r="211" spans="1:17" hidden="1" x14ac:dyDescent="0.35">
      <c r="A211" t="s">
        <v>265</v>
      </c>
      <c r="B211" t="s">
        <v>244</v>
      </c>
      <c r="C211" t="s">
        <v>68</v>
      </c>
      <c r="D211" t="s">
        <v>69</v>
      </c>
      <c r="E211" s="1">
        <v>1</v>
      </c>
      <c r="F211" s="1">
        <f>VLOOKUP(C211,m_indikator!$A$2:$F$30,5,TRUE)</f>
        <v>100</v>
      </c>
      <c r="G211" s="15">
        <v>100</v>
      </c>
      <c r="H211" s="1">
        <f>VLOOKUP(C211,m_indikator!$A$2:$F$30,6,TRUE)</f>
        <v>2</v>
      </c>
      <c r="I211" s="15">
        <f t="shared" si="6"/>
        <v>2</v>
      </c>
      <c r="J211" t="str">
        <f t="shared" si="7"/>
        <v>update evaluasi set tahun = 1, nilai_maks = 100, nilai_input=100, bobot = 2, nilai_akhir = 2, id_indikator = 'C020250218' where id_evaluasi = '20250106_C020250402';</v>
      </c>
      <c r="P211" s="12"/>
      <c r="Q211" s="12"/>
    </row>
    <row r="212" spans="1:17" hidden="1" x14ac:dyDescent="0.35">
      <c r="A212" t="s">
        <v>266</v>
      </c>
      <c r="B212" t="s">
        <v>244</v>
      </c>
      <c r="C212" t="s">
        <v>68</v>
      </c>
      <c r="D212" t="s">
        <v>69</v>
      </c>
      <c r="E212" s="1">
        <v>1</v>
      </c>
      <c r="F212" s="1">
        <f>VLOOKUP(C212,m_indikator!$A$2:$F$30,5,TRUE)</f>
        <v>100</v>
      </c>
      <c r="G212" s="15">
        <v>100</v>
      </c>
      <c r="H212" s="1">
        <f>VLOOKUP(C212,m_indikator!$A$2:$F$30,6,TRUE)</f>
        <v>2</v>
      </c>
      <c r="I212" s="15">
        <f t="shared" si="6"/>
        <v>2</v>
      </c>
      <c r="J212" t="str">
        <f t="shared" si="7"/>
        <v>update evaluasi set tahun = 1, nilai_maks = 100, nilai_input=100, bobot = 2, nilai_akhir = 2, id_indikator = 'C020250218' where id_evaluasi = '20250107_C020250402';</v>
      </c>
      <c r="P212" s="12"/>
      <c r="Q212" s="12"/>
    </row>
    <row r="213" spans="1:17" hidden="1" x14ac:dyDescent="0.35">
      <c r="A213" t="s">
        <v>267</v>
      </c>
      <c r="B213" t="s">
        <v>244</v>
      </c>
      <c r="C213" t="s">
        <v>68</v>
      </c>
      <c r="D213" t="s">
        <v>69</v>
      </c>
      <c r="E213" s="1">
        <v>1</v>
      </c>
      <c r="F213" s="1">
        <f>VLOOKUP(C213,m_indikator!$A$2:$F$30,5,TRUE)</f>
        <v>100</v>
      </c>
      <c r="G213" s="15">
        <v>100</v>
      </c>
      <c r="H213" s="1">
        <f>VLOOKUP(C213,m_indikator!$A$2:$F$30,6,TRUE)</f>
        <v>2</v>
      </c>
      <c r="I213" s="15">
        <f t="shared" si="6"/>
        <v>2</v>
      </c>
      <c r="J213" t="str">
        <f t="shared" si="7"/>
        <v>update evaluasi set tahun = 1, nilai_maks = 100, nilai_input=100, bobot = 2, nilai_akhir = 2, id_indikator = 'C020250218' where id_evaluasi = '20250108_C020250402';</v>
      </c>
      <c r="P213" s="12"/>
      <c r="Q213" s="12"/>
    </row>
    <row r="214" spans="1:17" hidden="1" x14ac:dyDescent="0.35">
      <c r="A214" t="s">
        <v>268</v>
      </c>
      <c r="B214" t="s">
        <v>244</v>
      </c>
      <c r="C214" t="s">
        <v>68</v>
      </c>
      <c r="D214" t="s">
        <v>69</v>
      </c>
      <c r="E214" s="1">
        <v>1</v>
      </c>
      <c r="F214" s="1">
        <f>VLOOKUP(C214,m_indikator!$A$2:$F$30,5,TRUE)</f>
        <v>100</v>
      </c>
      <c r="G214" s="15">
        <v>100</v>
      </c>
      <c r="H214" s="1">
        <f>VLOOKUP(C214,m_indikator!$A$2:$F$30,6,TRUE)</f>
        <v>2</v>
      </c>
      <c r="I214" s="15">
        <f t="shared" si="6"/>
        <v>2</v>
      </c>
      <c r="J214" t="str">
        <f t="shared" si="7"/>
        <v>update evaluasi set tahun = 1, nilai_maks = 100, nilai_input=100, bobot = 2, nilai_akhir = 2, id_indikator = 'C020250218' where id_evaluasi = '20250109_C020250402';</v>
      </c>
      <c r="P214" s="12"/>
      <c r="Q214" s="12"/>
    </row>
    <row r="215" spans="1:17" hidden="1" x14ac:dyDescent="0.35">
      <c r="A215" t="s">
        <v>269</v>
      </c>
      <c r="B215" t="s">
        <v>244</v>
      </c>
      <c r="C215" t="s">
        <v>68</v>
      </c>
      <c r="D215" t="s">
        <v>69</v>
      </c>
      <c r="E215" s="1">
        <v>1</v>
      </c>
      <c r="F215" s="1">
        <f>VLOOKUP(C215,m_indikator!$A$2:$F$30,5,TRUE)</f>
        <v>100</v>
      </c>
      <c r="G215" s="15">
        <v>100</v>
      </c>
      <c r="H215" s="1">
        <f>VLOOKUP(C215,m_indikator!$A$2:$F$30,6,TRUE)</f>
        <v>2</v>
      </c>
      <c r="I215" s="15">
        <f t="shared" si="6"/>
        <v>2</v>
      </c>
      <c r="J215" t="str">
        <f t="shared" si="7"/>
        <v>update evaluasi set tahun = 1, nilai_maks = 100, nilai_input=100, bobot = 2, nilai_akhir = 2, id_indikator = 'C020250218' where id_evaluasi = '20250110_C020250402';</v>
      </c>
      <c r="P215" s="12"/>
      <c r="Q215" s="12"/>
    </row>
    <row r="216" spans="1:17" hidden="1" x14ac:dyDescent="0.35">
      <c r="A216" t="s">
        <v>354</v>
      </c>
      <c r="B216" t="s">
        <v>309</v>
      </c>
      <c r="C216" t="s">
        <v>71</v>
      </c>
      <c r="D216" t="s">
        <v>72</v>
      </c>
      <c r="E216" s="1">
        <v>1</v>
      </c>
      <c r="F216" s="1">
        <f>VLOOKUP(C216,m_indikator!$A$2:$F$30,5,TRUE)</f>
        <v>100</v>
      </c>
      <c r="G216" s="15">
        <v>15</v>
      </c>
      <c r="H216" s="1">
        <f>VLOOKUP(C216,m_indikator!$A$2:$F$30,6,TRUE)</f>
        <v>2</v>
      </c>
      <c r="I216" s="15">
        <f t="shared" si="6"/>
        <v>0.3</v>
      </c>
      <c r="J216" t="str">
        <f t="shared" si="7"/>
        <v>update evaluasi set tahun = 1, nilai_maks = 100, nilai_input=15, bobot = 2, nilai_akhir = 0.3, id_indikator = 'C020250220' where id_evaluasi = '20250001_C020250404';</v>
      </c>
      <c r="P216" s="12"/>
      <c r="Q216" s="12"/>
    </row>
    <row r="217" spans="1:17" hidden="1" x14ac:dyDescent="0.35">
      <c r="A217" t="s">
        <v>355</v>
      </c>
      <c r="B217" t="s">
        <v>309</v>
      </c>
      <c r="C217" t="s">
        <v>71</v>
      </c>
      <c r="D217" t="s">
        <v>72</v>
      </c>
      <c r="E217" s="1">
        <v>1</v>
      </c>
      <c r="F217" s="1">
        <f>VLOOKUP(C217,m_indikator!$A$2:$F$30,5,TRUE)</f>
        <v>100</v>
      </c>
      <c r="G217" s="15">
        <v>48</v>
      </c>
      <c r="H217" s="1">
        <f>VLOOKUP(C217,m_indikator!$A$2:$F$30,6,TRUE)</f>
        <v>2</v>
      </c>
      <c r="I217" s="15">
        <f t="shared" si="6"/>
        <v>0.96</v>
      </c>
      <c r="J217" t="str">
        <f t="shared" si="7"/>
        <v>update evaluasi set tahun = 1, nilai_maks = 100, nilai_input=48, bobot = 2, nilai_akhir = 0.96, id_indikator = 'C020250220' where id_evaluasi = '20250002_C020250404';</v>
      </c>
      <c r="P217" s="12"/>
      <c r="Q217" s="12"/>
    </row>
    <row r="218" spans="1:17" hidden="1" x14ac:dyDescent="0.35">
      <c r="A218" t="s">
        <v>356</v>
      </c>
      <c r="B218" t="s">
        <v>309</v>
      </c>
      <c r="C218" t="s">
        <v>71</v>
      </c>
      <c r="D218" t="s">
        <v>72</v>
      </c>
      <c r="E218" s="1">
        <v>1</v>
      </c>
      <c r="F218" s="1">
        <f>VLOOKUP(C218,m_indikator!$A$2:$F$30,5,TRUE)</f>
        <v>100</v>
      </c>
      <c r="G218" s="15">
        <v>97</v>
      </c>
      <c r="H218" s="1">
        <f>VLOOKUP(C218,m_indikator!$A$2:$F$30,6,TRUE)</f>
        <v>2</v>
      </c>
      <c r="I218" s="15">
        <f t="shared" si="6"/>
        <v>1.94</v>
      </c>
      <c r="J218" t="str">
        <f t="shared" si="7"/>
        <v>update evaluasi set tahun = 1, nilai_maks = 100, nilai_input=97, bobot = 2, nilai_akhir = 1.94, id_indikator = 'C020250220' where id_evaluasi = '20250003_C020250404';</v>
      </c>
      <c r="P218" s="12"/>
      <c r="Q218" s="12"/>
    </row>
    <row r="219" spans="1:17" hidden="1" x14ac:dyDescent="0.35">
      <c r="A219" t="s">
        <v>357</v>
      </c>
      <c r="B219" t="s">
        <v>309</v>
      </c>
      <c r="C219" t="s">
        <v>71</v>
      </c>
      <c r="D219" t="s">
        <v>72</v>
      </c>
      <c r="E219" s="1">
        <v>1</v>
      </c>
      <c r="F219" s="1">
        <f>VLOOKUP(C219,m_indikator!$A$2:$F$30,5,TRUE)</f>
        <v>100</v>
      </c>
      <c r="G219" s="15">
        <v>21</v>
      </c>
      <c r="H219" s="1">
        <f>VLOOKUP(C219,m_indikator!$A$2:$F$30,6,TRUE)</f>
        <v>2</v>
      </c>
      <c r="I219" s="15">
        <f t="shared" si="6"/>
        <v>0.42</v>
      </c>
      <c r="J219" t="str">
        <f t="shared" si="7"/>
        <v>update evaluasi set tahun = 1, nilai_maks = 100, nilai_input=21, bobot = 2, nilai_akhir = 0.42, id_indikator = 'C020250220' where id_evaluasi = '20250004_C020250404';</v>
      </c>
      <c r="P219" s="12"/>
      <c r="Q219" s="12"/>
    </row>
    <row r="220" spans="1:17" hidden="1" x14ac:dyDescent="0.35">
      <c r="A220" t="s">
        <v>358</v>
      </c>
      <c r="B220" t="s">
        <v>309</v>
      </c>
      <c r="C220" t="s">
        <v>71</v>
      </c>
      <c r="D220" t="s">
        <v>72</v>
      </c>
      <c r="E220" s="1">
        <v>1</v>
      </c>
      <c r="F220" s="1">
        <f>VLOOKUP(C220,m_indikator!$A$2:$F$30,5,TRUE)</f>
        <v>100</v>
      </c>
      <c r="G220" s="15">
        <v>41</v>
      </c>
      <c r="H220" s="1">
        <f>VLOOKUP(C220,m_indikator!$A$2:$F$30,6,TRUE)</f>
        <v>2</v>
      </c>
      <c r="I220" s="15">
        <f t="shared" si="6"/>
        <v>0.82</v>
      </c>
      <c r="J220" t="str">
        <f t="shared" si="7"/>
        <v>update evaluasi set tahun = 1, nilai_maks = 100, nilai_input=41, bobot = 2, nilai_akhir = 0.82, id_indikator = 'C020250220' where id_evaluasi = '20250005_C020250404';</v>
      </c>
      <c r="P220" s="12"/>
      <c r="Q220" s="12"/>
    </row>
    <row r="221" spans="1:17" hidden="1" x14ac:dyDescent="0.35">
      <c r="A221" t="s">
        <v>359</v>
      </c>
      <c r="B221" t="s">
        <v>309</v>
      </c>
      <c r="C221" t="s">
        <v>71</v>
      </c>
      <c r="D221" t="s">
        <v>72</v>
      </c>
      <c r="E221" s="1">
        <v>1</v>
      </c>
      <c r="F221" s="1">
        <f>VLOOKUP(C221,m_indikator!$A$2:$F$30,5,TRUE)</f>
        <v>100</v>
      </c>
      <c r="G221" s="15">
        <v>18</v>
      </c>
      <c r="H221" s="1">
        <f>VLOOKUP(C221,m_indikator!$A$2:$F$30,6,TRUE)</f>
        <v>2</v>
      </c>
      <c r="I221" s="15">
        <f t="shared" si="6"/>
        <v>0.36</v>
      </c>
      <c r="J221" t="str">
        <f t="shared" si="7"/>
        <v>update evaluasi set tahun = 1, nilai_maks = 100, nilai_input=18, bobot = 2, nilai_akhir = 0.36, id_indikator = 'C020250220' where id_evaluasi = '20250006_C020250404';</v>
      </c>
      <c r="P221" s="12"/>
      <c r="Q221" s="12"/>
    </row>
    <row r="222" spans="1:17" hidden="1" x14ac:dyDescent="0.35">
      <c r="A222" t="s">
        <v>360</v>
      </c>
      <c r="B222" t="s">
        <v>309</v>
      </c>
      <c r="C222" t="s">
        <v>71</v>
      </c>
      <c r="D222" t="s">
        <v>72</v>
      </c>
      <c r="E222" s="1">
        <v>1</v>
      </c>
      <c r="F222" s="1">
        <f>VLOOKUP(C222,m_indikator!$A$2:$F$30,5,TRUE)</f>
        <v>100</v>
      </c>
      <c r="G222" s="15">
        <v>41</v>
      </c>
      <c r="H222" s="1">
        <f>VLOOKUP(C222,m_indikator!$A$2:$F$30,6,TRUE)</f>
        <v>2</v>
      </c>
      <c r="I222" s="15">
        <f t="shared" si="6"/>
        <v>0.82</v>
      </c>
      <c r="J222" t="str">
        <f t="shared" si="7"/>
        <v>update evaluasi set tahun = 1, nilai_maks = 100, nilai_input=41, bobot = 2, nilai_akhir = 0.82, id_indikator = 'C020250220' where id_evaluasi = '20250007_C020250404';</v>
      </c>
      <c r="P222" s="12"/>
      <c r="Q222" s="12"/>
    </row>
    <row r="223" spans="1:17" hidden="1" x14ac:dyDescent="0.35">
      <c r="A223" t="s">
        <v>361</v>
      </c>
      <c r="B223" t="s">
        <v>309</v>
      </c>
      <c r="C223" t="s">
        <v>71</v>
      </c>
      <c r="D223" t="s">
        <v>72</v>
      </c>
      <c r="E223" s="1">
        <v>1</v>
      </c>
      <c r="F223" s="1">
        <f>VLOOKUP(C223,m_indikator!$A$2:$F$30,5,TRUE)</f>
        <v>100</v>
      </c>
      <c r="G223" s="15">
        <v>53</v>
      </c>
      <c r="H223" s="1">
        <f>VLOOKUP(C223,m_indikator!$A$2:$F$30,6,TRUE)</f>
        <v>2</v>
      </c>
      <c r="I223" s="15">
        <f t="shared" si="6"/>
        <v>1.06</v>
      </c>
      <c r="J223" t="str">
        <f t="shared" si="7"/>
        <v>update evaluasi set tahun = 1, nilai_maks = 100, nilai_input=53, bobot = 2, nilai_akhir = 1.06, id_indikator = 'C020250220' where id_evaluasi = '20250008_C020250404';</v>
      </c>
      <c r="P223" s="12"/>
      <c r="Q223" s="12"/>
    </row>
    <row r="224" spans="1:17" hidden="1" x14ac:dyDescent="0.35">
      <c r="A224" t="s">
        <v>362</v>
      </c>
      <c r="B224" t="s">
        <v>309</v>
      </c>
      <c r="C224" t="s">
        <v>71</v>
      </c>
      <c r="D224" t="s">
        <v>72</v>
      </c>
      <c r="E224" s="1">
        <v>1</v>
      </c>
      <c r="F224" s="1">
        <f>VLOOKUP(C224,m_indikator!$A$2:$F$30,5,TRUE)</f>
        <v>100</v>
      </c>
      <c r="G224" s="15">
        <v>48</v>
      </c>
      <c r="H224" s="1">
        <f>VLOOKUP(C224,m_indikator!$A$2:$F$30,6,TRUE)</f>
        <v>2</v>
      </c>
      <c r="I224" s="15">
        <f t="shared" si="6"/>
        <v>0.96</v>
      </c>
      <c r="J224" t="str">
        <f t="shared" si="7"/>
        <v>update evaluasi set tahun = 1, nilai_maks = 100, nilai_input=48, bobot = 2, nilai_akhir = 0.96, id_indikator = 'C020250220' where id_evaluasi = '20250009_C020250404';</v>
      </c>
      <c r="P224" s="12"/>
      <c r="Q224" s="12"/>
    </row>
    <row r="225" spans="1:17" hidden="1" x14ac:dyDescent="0.35">
      <c r="A225" t="s">
        <v>363</v>
      </c>
      <c r="B225" t="s">
        <v>309</v>
      </c>
      <c r="C225" t="s">
        <v>71</v>
      </c>
      <c r="D225" t="s">
        <v>72</v>
      </c>
      <c r="E225" s="1">
        <v>1</v>
      </c>
      <c r="F225" s="1">
        <f>VLOOKUP(C225,m_indikator!$A$2:$F$30,5,TRUE)</f>
        <v>100</v>
      </c>
      <c r="G225" s="15">
        <v>65</v>
      </c>
      <c r="H225" s="1">
        <f>VLOOKUP(C225,m_indikator!$A$2:$F$30,6,TRUE)</f>
        <v>2</v>
      </c>
      <c r="I225" s="15">
        <f t="shared" si="6"/>
        <v>1.3</v>
      </c>
      <c r="J225" t="str">
        <f t="shared" si="7"/>
        <v>update evaluasi set tahun = 1, nilai_maks = 100, nilai_input=65, bobot = 2, nilai_akhir = 1.3, id_indikator = 'C020250220' where id_evaluasi = '20250010_C020250404';</v>
      </c>
      <c r="P225" s="12"/>
      <c r="Q225" s="12"/>
    </row>
    <row r="226" spans="1:17" hidden="1" x14ac:dyDescent="0.35">
      <c r="A226" t="s">
        <v>364</v>
      </c>
      <c r="B226" t="s">
        <v>309</v>
      </c>
      <c r="C226" t="s">
        <v>71</v>
      </c>
      <c r="D226" t="s">
        <v>72</v>
      </c>
      <c r="E226" s="1">
        <v>1</v>
      </c>
      <c r="F226" s="1">
        <f>VLOOKUP(C226,m_indikator!$A$2:$F$30,5,TRUE)</f>
        <v>100</v>
      </c>
      <c r="G226" s="15">
        <v>68</v>
      </c>
      <c r="H226" s="1">
        <f>VLOOKUP(C226,m_indikator!$A$2:$F$30,6,TRUE)</f>
        <v>2</v>
      </c>
      <c r="I226" s="15">
        <f t="shared" si="6"/>
        <v>1.36</v>
      </c>
      <c r="J226" t="str">
        <f t="shared" si="7"/>
        <v>update evaluasi set tahun = 1, nilai_maks = 100, nilai_input=68, bobot = 2, nilai_akhir = 1.36, id_indikator = 'C020250220' where id_evaluasi = '20250011_C020250404';</v>
      </c>
      <c r="P226" s="12"/>
      <c r="Q226" s="12"/>
    </row>
    <row r="227" spans="1:17" hidden="1" x14ac:dyDescent="0.35">
      <c r="A227" t="s">
        <v>365</v>
      </c>
      <c r="B227" t="s">
        <v>309</v>
      </c>
      <c r="C227" t="s">
        <v>71</v>
      </c>
      <c r="D227" t="s">
        <v>72</v>
      </c>
      <c r="E227" s="1">
        <v>1</v>
      </c>
      <c r="F227" s="1">
        <f>VLOOKUP(C227,m_indikator!$A$2:$F$30,5,TRUE)</f>
        <v>100</v>
      </c>
      <c r="G227" s="15">
        <v>53</v>
      </c>
      <c r="H227" s="1">
        <f>VLOOKUP(C227,m_indikator!$A$2:$F$30,6,TRUE)</f>
        <v>2</v>
      </c>
      <c r="I227" s="15">
        <f t="shared" si="6"/>
        <v>1.06</v>
      </c>
      <c r="J227" t="str">
        <f t="shared" si="7"/>
        <v>update evaluasi set tahun = 1, nilai_maks = 100, nilai_input=53, bobot = 2, nilai_akhir = 1.06, id_indikator = 'C020250220' where id_evaluasi = '20250012_C020250404';</v>
      </c>
      <c r="P227" s="12"/>
      <c r="Q227" s="12"/>
    </row>
    <row r="228" spans="1:17" hidden="1" x14ac:dyDescent="0.35">
      <c r="A228" t="s">
        <v>366</v>
      </c>
      <c r="B228" t="s">
        <v>309</v>
      </c>
      <c r="C228" t="s">
        <v>71</v>
      </c>
      <c r="D228" t="s">
        <v>72</v>
      </c>
      <c r="E228" s="1">
        <v>1</v>
      </c>
      <c r="F228" s="1">
        <f>VLOOKUP(C228,m_indikator!$A$2:$F$30,5,TRUE)</f>
        <v>100</v>
      </c>
      <c r="G228" s="15">
        <v>57</v>
      </c>
      <c r="H228" s="1">
        <f>VLOOKUP(C228,m_indikator!$A$2:$F$30,6,TRUE)</f>
        <v>2</v>
      </c>
      <c r="I228" s="15">
        <f t="shared" si="6"/>
        <v>1.1399999999999999</v>
      </c>
      <c r="J228" t="str">
        <f t="shared" si="7"/>
        <v>update evaluasi set tahun = 1, nilai_maks = 100, nilai_input=57, bobot = 2, nilai_akhir = 1.14, id_indikator = 'C020250220' where id_evaluasi = '20250013_C020250404';</v>
      </c>
      <c r="P228" s="12"/>
      <c r="Q228" s="12"/>
    </row>
    <row r="229" spans="1:17" hidden="1" x14ac:dyDescent="0.35">
      <c r="A229" t="s">
        <v>367</v>
      </c>
      <c r="B229" t="s">
        <v>309</v>
      </c>
      <c r="C229" t="s">
        <v>71</v>
      </c>
      <c r="D229" t="s">
        <v>72</v>
      </c>
      <c r="E229" s="1">
        <v>1</v>
      </c>
      <c r="F229" s="1">
        <f>VLOOKUP(C229,m_indikator!$A$2:$F$30,5,TRUE)</f>
        <v>100</v>
      </c>
      <c r="G229" s="15">
        <v>62</v>
      </c>
      <c r="H229" s="1">
        <f>VLOOKUP(C229,m_indikator!$A$2:$F$30,6,TRUE)</f>
        <v>2</v>
      </c>
      <c r="I229" s="15">
        <f t="shared" si="6"/>
        <v>1.24</v>
      </c>
      <c r="J229" t="str">
        <f t="shared" si="7"/>
        <v>update evaluasi set tahun = 1, nilai_maks = 100, nilai_input=62, bobot = 2, nilai_akhir = 1.24, id_indikator = 'C020250220' where id_evaluasi = '20250014_C020250404';</v>
      </c>
      <c r="P229" s="12"/>
      <c r="Q229" s="12"/>
    </row>
    <row r="230" spans="1:17" hidden="1" x14ac:dyDescent="0.35">
      <c r="A230" t="s">
        <v>368</v>
      </c>
      <c r="B230" t="s">
        <v>309</v>
      </c>
      <c r="C230" t="s">
        <v>71</v>
      </c>
      <c r="D230" t="s">
        <v>72</v>
      </c>
      <c r="E230" s="1">
        <v>1</v>
      </c>
      <c r="F230" s="1">
        <f>VLOOKUP(C230,m_indikator!$A$2:$F$30,5,TRUE)</f>
        <v>100</v>
      </c>
      <c r="G230" s="15">
        <v>29</v>
      </c>
      <c r="H230" s="1">
        <f>VLOOKUP(C230,m_indikator!$A$2:$F$30,6,TRUE)</f>
        <v>2</v>
      </c>
      <c r="I230" s="15">
        <f t="shared" si="6"/>
        <v>0.57999999999999996</v>
      </c>
      <c r="J230" t="str">
        <f t="shared" si="7"/>
        <v>update evaluasi set tahun = 1, nilai_maks = 100, nilai_input=29, bobot = 2, nilai_akhir = 0.58, id_indikator = 'C020250220' where id_evaluasi = '20250015_C020250404';</v>
      </c>
      <c r="P230" s="12"/>
      <c r="Q230" s="12"/>
    </row>
    <row r="231" spans="1:17" hidden="1" x14ac:dyDescent="0.35">
      <c r="A231" t="s">
        <v>369</v>
      </c>
      <c r="B231" t="s">
        <v>309</v>
      </c>
      <c r="C231" t="s">
        <v>71</v>
      </c>
      <c r="D231" t="s">
        <v>72</v>
      </c>
      <c r="E231" s="1">
        <v>1</v>
      </c>
      <c r="F231" s="1">
        <f>VLOOKUP(C231,m_indikator!$A$2:$F$30,5,TRUE)</f>
        <v>100</v>
      </c>
      <c r="G231" s="15">
        <v>51</v>
      </c>
      <c r="H231" s="1">
        <f>VLOOKUP(C231,m_indikator!$A$2:$F$30,6,TRUE)</f>
        <v>2</v>
      </c>
      <c r="I231" s="15">
        <f t="shared" si="6"/>
        <v>1.02</v>
      </c>
      <c r="J231" t="str">
        <f t="shared" si="7"/>
        <v>update evaluasi set tahun = 1, nilai_maks = 100, nilai_input=51, bobot = 2, nilai_akhir = 1.02, id_indikator = 'C020250220' where id_evaluasi = '20250016_C020250404';</v>
      </c>
      <c r="P231" s="12"/>
      <c r="Q231" s="12"/>
    </row>
    <row r="232" spans="1:17" hidden="1" x14ac:dyDescent="0.35">
      <c r="A232" t="s">
        <v>370</v>
      </c>
      <c r="B232" t="s">
        <v>309</v>
      </c>
      <c r="C232" t="s">
        <v>71</v>
      </c>
      <c r="D232" t="s">
        <v>72</v>
      </c>
      <c r="E232" s="1">
        <v>1</v>
      </c>
      <c r="F232" s="1">
        <f>VLOOKUP(C232,m_indikator!$A$2:$F$30,5,TRUE)</f>
        <v>100</v>
      </c>
      <c r="G232" s="15">
        <v>59</v>
      </c>
      <c r="H232" s="1">
        <f>VLOOKUP(C232,m_indikator!$A$2:$F$30,6,TRUE)</f>
        <v>2</v>
      </c>
      <c r="I232" s="15">
        <f t="shared" si="6"/>
        <v>1.18</v>
      </c>
      <c r="J232" t="str">
        <f t="shared" si="7"/>
        <v>update evaluasi set tahun = 1, nilai_maks = 100, nilai_input=59, bobot = 2, nilai_akhir = 1.18, id_indikator = 'C020250220' where id_evaluasi = '20250017_C020250404';</v>
      </c>
      <c r="P232" s="12"/>
      <c r="Q232" s="12"/>
    </row>
    <row r="233" spans="1:17" hidden="1" x14ac:dyDescent="0.35">
      <c r="A233" t="s">
        <v>371</v>
      </c>
      <c r="B233" t="s">
        <v>309</v>
      </c>
      <c r="C233" t="s">
        <v>71</v>
      </c>
      <c r="D233" t="s">
        <v>72</v>
      </c>
      <c r="E233" s="1">
        <v>1</v>
      </c>
      <c r="F233" s="1">
        <f>VLOOKUP(C233,m_indikator!$A$2:$F$30,5,TRUE)</f>
        <v>100</v>
      </c>
      <c r="G233" s="15">
        <v>47</v>
      </c>
      <c r="H233" s="1">
        <f>VLOOKUP(C233,m_indikator!$A$2:$F$30,6,TRUE)</f>
        <v>2</v>
      </c>
      <c r="I233" s="15">
        <f t="shared" si="6"/>
        <v>0.94</v>
      </c>
      <c r="J233" t="str">
        <f t="shared" si="7"/>
        <v>update evaluasi set tahun = 1, nilai_maks = 100, nilai_input=47, bobot = 2, nilai_akhir = 0.94, id_indikator = 'C020250220' where id_evaluasi = '20250018_C020250404';</v>
      </c>
      <c r="P233" s="12"/>
      <c r="Q233" s="12"/>
    </row>
    <row r="234" spans="1:17" hidden="1" x14ac:dyDescent="0.35">
      <c r="A234" t="s">
        <v>372</v>
      </c>
      <c r="B234" t="s">
        <v>309</v>
      </c>
      <c r="C234" t="s">
        <v>71</v>
      </c>
      <c r="D234" t="s">
        <v>72</v>
      </c>
      <c r="E234" s="1">
        <v>1</v>
      </c>
      <c r="F234" s="1">
        <f>VLOOKUP(C234,m_indikator!$A$2:$F$30,5,TRUE)</f>
        <v>100</v>
      </c>
      <c r="G234" s="15">
        <v>9</v>
      </c>
      <c r="H234" s="1">
        <f>VLOOKUP(C234,m_indikator!$A$2:$F$30,6,TRUE)</f>
        <v>2</v>
      </c>
      <c r="I234" s="15">
        <f t="shared" si="6"/>
        <v>0.18</v>
      </c>
      <c r="J234" t="str">
        <f t="shared" si="7"/>
        <v>update evaluasi set tahun = 1, nilai_maks = 100, nilai_input=9, bobot = 2, nilai_akhir = 0.18, id_indikator = 'C020250220' where id_evaluasi = '20250019_C020250404';</v>
      </c>
      <c r="P234" s="12"/>
      <c r="Q234" s="12"/>
    </row>
    <row r="235" spans="1:17" hidden="1" x14ac:dyDescent="0.35">
      <c r="A235" t="s">
        <v>308</v>
      </c>
      <c r="B235" t="s">
        <v>309</v>
      </c>
      <c r="C235" t="s">
        <v>71</v>
      </c>
      <c r="D235" t="s">
        <v>72</v>
      </c>
      <c r="E235" s="1">
        <v>1</v>
      </c>
      <c r="F235" s="1">
        <f>VLOOKUP(C235,m_indikator!$A$2:$F$30,5,TRUE)</f>
        <v>100</v>
      </c>
      <c r="G235" s="15">
        <v>71</v>
      </c>
      <c r="H235" s="1">
        <f>VLOOKUP(C235,m_indikator!$A$2:$F$30,6,TRUE)</f>
        <v>2</v>
      </c>
      <c r="I235" s="15">
        <f t="shared" si="6"/>
        <v>1.42</v>
      </c>
      <c r="J235" t="str">
        <f t="shared" si="7"/>
        <v>update evaluasi set tahun = 1, nilai_maks = 100, nilai_input=71, bobot = 2, nilai_akhir = 1.42, id_indikator = 'C020250220' where id_evaluasi = '20250020_C020250404';</v>
      </c>
      <c r="P235" s="12"/>
      <c r="Q235" s="12"/>
    </row>
    <row r="236" spans="1:17" hidden="1" x14ac:dyDescent="0.35">
      <c r="A236" t="s">
        <v>310</v>
      </c>
      <c r="B236" t="s">
        <v>309</v>
      </c>
      <c r="C236" t="s">
        <v>71</v>
      </c>
      <c r="D236" t="s">
        <v>72</v>
      </c>
      <c r="E236" s="1">
        <v>1</v>
      </c>
      <c r="F236" s="1">
        <f>VLOOKUP(C236,m_indikator!$A$2:$F$30,5,TRUE)</f>
        <v>100</v>
      </c>
      <c r="G236" s="15">
        <v>100</v>
      </c>
      <c r="H236" s="1">
        <f>VLOOKUP(C236,m_indikator!$A$2:$F$30,6,TRUE)</f>
        <v>2</v>
      </c>
      <c r="I236" s="15">
        <f t="shared" si="6"/>
        <v>2</v>
      </c>
      <c r="J236" t="str">
        <f t="shared" si="7"/>
        <v>update evaluasi set tahun = 1, nilai_maks = 100, nilai_input=100, bobot = 2, nilai_akhir = 2, id_indikator = 'C020250220' where id_evaluasi = '20250021_C020250404';</v>
      </c>
      <c r="P236" s="12"/>
      <c r="Q236" s="12"/>
    </row>
    <row r="237" spans="1:17" hidden="1" x14ac:dyDescent="0.35">
      <c r="A237" t="s">
        <v>311</v>
      </c>
      <c r="B237" t="s">
        <v>309</v>
      </c>
      <c r="C237" t="s">
        <v>71</v>
      </c>
      <c r="D237" t="s">
        <v>72</v>
      </c>
      <c r="E237" s="1">
        <v>1</v>
      </c>
      <c r="F237" s="1">
        <f>VLOOKUP(C237,m_indikator!$A$2:$F$30,5,TRUE)</f>
        <v>100</v>
      </c>
      <c r="G237" s="15">
        <v>48</v>
      </c>
      <c r="H237" s="1">
        <f>VLOOKUP(C237,m_indikator!$A$2:$F$30,6,TRUE)</f>
        <v>2</v>
      </c>
      <c r="I237" s="15">
        <f t="shared" si="6"/>
        <v>0.96</v>
      </c>
      <c r="J237" t="str">
        <f t="shared" si="7"/>
        <v>update evaluasi set tahun = 1, nilai_maks = 100, nilai_input=48, bobot = 2, nilai_akhir = 0.96, id_indikator = 'C020250220' where id_evaluasi = '20250022_C020250404';</v>
      </c>
      <c r="P237" s="12"/>
      <c r="Q237" s="12"/>
    </row>
    <row r="238" spans="1:17" hidden="1" x14ac:dyDescent="0.35">
      <c r="A238" t="s">
        <v>312</v>
      </c>
      <c r="B238" t="s">
        <v>309</v>
      </c>
      <c r="C238" t="s">
        <v>71</v>
      </c>
      <c r="D238" t="s">
        <v>72</v>
      </c>
      <c r="E238" s="1">
        <v>1</v>
      </c>
      <c r="F238" s="1">
        <f>VLOOKUP(C238,m_indikator!$A$2:$F$30,5,TRUE)</f>
        <v>100</v>
      </c>
      <c r="G238" s="15">
        <v>100</v>
      </c>
      <c r="H238" s="1">
        <f>VLOOKUP(C238,m_indikator!$A$2:$F$30,6,TRUE)</f>
        <v>2</v>
      </c>
      <c r="I238" s="15">
        <f t="shared" si="6"/>
        <v>2</v>
      </c>
      <c r="J238" t="str">
        <f t="shared" si="7"/>
        <v>update evaluasi set tahun = 1, nilai_maks = 100, nilai_input=100, bobot = 2, nilai_akhir = 2, id_indikator = 'C020250220' where id_evaluasi = '20250023_C020250404';</v>
      </c>
      <c r="P238" s="12"/>
      <c r="Q238" s="12"/>
    </row>
    <row r="239" spans="1:17" hidden="1" x14ac:dyDescent="0.35">
      <c r="A239" t="s">
        <v>313</v>
      </c>
      <c r="B239" t="s">
        <v>309</v>
      </c>
      <c r="C239" t="s">
        <v>71</v>
      </c>
      <c r="D239" t="s">
        <v>72</v>
      </c>
      <c r="E239" s="1">
        <v>1</v>
      </c>
      <c r="F239" s="1">
        <f>VLOOKUP(C239,m_indikator!$A$2:$F$30,5,TRUE)</f>
        <v>100</v>
      </c>
      <c r="G239" s="15">
        <v>71</v>
      </c>
      <c r="H239" s="1">
        <f>VLOOKUP(C239,m_indikator!$A$2:$F$30,6,TRUE)</f>
        <v>2</v>
      </c>
      <c r="I239" s="15">
        <f t="shared" si="6"/>
        <v>1.42</v>
      </c>
      <c r="J239" t="str">
        <f t="shared" si="7"/>
        <v>update evaluasi set tahun = 1, nilai_maks = 100, nilai_input=71, bobot = 2, nilai_akhir = 1.42, id_indikator = 'C020250220' where id_evaluasi = '20250024_C020250404';</v>
      </c>
      <c r="P239" s="12"/>
      <c r="Q239" s="12"/>
    </row>
    <row r="240" spans="1:17" hidden="1" x14ac:dyDescent="0.35">
      <c r="A240" t="s">
        <v>314</v>
      </c>
      <c r="B240" t="s">
        <v>309</v>
      </c>
      <c r="C240" t="s">
        <v>71</v>
      </c>
      <c r="D240" t="s">
        <v>72</v>
      </c>
      <c r="E240" s="1">
        <v>1</v>
      </c>
      <c r="F240" s="1">
        <f>VLOOKUP(C240,m_indikator!$A$2:$F$30,5,TRUE)</f>
        <v>100</v>
      </c>
      <c r="G240" s="15">
        <v>74</v>
      </c>
      <c r="H240" s="1">
        <f>VLOOKUP(C240,m_indikator!$A$2:$F$30,6,TRUE)</f>
        <v>2</v>
      </c>
      <c r="I240" s="15">
        <f t="shared" si="6"/>
        <v>1.48</v>
      </c>
      <c r="J240" t="str">
        <f t="shared" si="7"/>
        <v>update evaluasi set tahun = 1, nilai_maks = 100, nilai_input=74, bobot = 2, nilai_akhir = 1.48, id_indikator = 'C020250220' where id_evaluasi = '20250025_C020250404';</v>
      </c>
      <c r="P240" s="12"/>
      <c r="Q240" s="12"/>
    </row>
    <row r="241" spans="1:17" hidden="1" x14ac:dyDescent="0.35">
      <c r="A241" t="s">
        <v>315</v>
      </c>
      <c r="B241" t="s">
        <v>309</v>
      </c>
      <c r="C241" t="s">
        <v>71</v>
      </c>
      <c r="D241" t="s">
        <v>72</v>
      </c>
      <c r="E241" s="1">
        <v>1</v>
      </c>
      <c r="F241" s="1">
        <f>VLOOKUP(C241,m_indikator!$A$2:$F$30,5,TRUE)</f>
        <v>100</v>
      </c>
      <c r="G241" s="15">
        <v>56</v>
      </c>
      <c r="H241" s="1">
        <f>VLOOKUP(C241,m_indikator!$A$2:$F$30,6,TRUE)</f>
        <v>2</v>
      </c>
      <c r="I241" s="15">
        <f t="shared" si="6"/>
        <v>1.1200000000000001</v>
      </c>
      <c r="J241" t="str">
        <f t="shared" si="7"/>
        <v>update evaluasi set tahun = 1, nilai_maks = 100, nilai_input=56, bobot = 2, nilai_akhir = 1.12, id_indikator = 'C020250220' where id_evaluasi = '20250026_C020250404';</v>
      </c>
      <c r="P241" s="12"/>
      <c r="Q241" s="12"/>
    </row>
    <row r="242" spans="1:17" hidden="1" x14ac:dyDescent="0.35">
      <c r="A242" t="s">
        <v>316</v>
      </c>
      <c r="B242" t="s">
        <v>309</v>
      </c>
      <c r="C242" t="s">
        <v>71</v>
      </c>
      <c r="D242" t="s">
        <v>72</v>
      </c>
      <c r="E242" s="1">
        <v>1</v>
      </c>
      <c r="F242" s="1">
        <f>VLOOKUP(C242,m_indikator!$A$2:$F$30,5,TRUE)</f>
        <v>100</v>
      </c>
      <c r="G242" s="15">
        <v>47</v>
      </c>
      <c r="H242" s="1">
        <f>VLOOKUP(C242,m_indikator!$A$2:$F$30,6,TRUE)</f>
        <v>2</v>
      </c>
      <c r="I242" s="15">
        <f t="shared" si="6"/>
        <v>0.94</v>
      </c>
      <c r="J242" t="str">
        <f t="shared" si="7"/>
        <v>update evaluasi set tahun = 1, nilai_maks = 100, nilai_input=47, bobot = 2, nilai_akhir = 0.94, id_indikator = 'C020250220' where id_evaluasi = '20250027_C020250404';</v>
      </c>
      <c r="P242" s="12"/>
      <c r="Q242" s="12"/>
    </row>
    <row r="243" spans="1:17" hidden="1" x14ac:dyDescent="0.35">
      <c r="A243" t="s">
        <v>317</v>
      </c>
      <c r="B243" t="s">
        <v>309</v>
      </c>
      <c r="C243" t="s">
        <v>71</v>
      </c>
      <c r="D243" t="s">
        <v>72</v>
      </c>
      <c r="E243" s="1">
        <v>1</v>
      </c>
      <c r="F243" s="1">
        <f>VLOOKUP(C243,m_indikator!$A$2:$F$30,5,TRUE)</f>
        <v>100</v>
      </c>
      <c r="G243" s="15">
        <v>50</v>
      </c>
      <c r="H243" s="1">
        <f>VLOOKUP(C243,m_indikator!$A$2:$F$30,6,TRUE)</f>
        <v>2</v>
      </c>
      <c r="I243" s="15">
        <f t="shared" si="6"/>
        <v>1</v>
      </c>
      <c r="J243" t="str">
        <f t="shared" si="7"/>
        <v>update evaluasi set tahun = 1, nilai_maks = 100, nilai_input=50, bobot = 2, nilai_akhir = 1, id_indikator = 'C020250220' where id_evaluasi = '20250028_C020250404';</v>
      </c>
      <c r="P243" s="12"/>
      <c r="Q243" s="12"/>
    </row>
    <row r="244" spans="1:17" hidden="1" x14ac:dyDescent="0.35">
      <c r="A244" t="s">
        <v>318</v>
      </c>
      <c r="B244" t="s">
        <v>309</v>
      </c>
      <c r="C244" t="s">
        <v>71</v>
      </c>
      <c r="D244" t="s">
        <v>72</v>
      </c>
      <c r="E244" s="1">
        <v>1</v>
      </c>
      <c r="F244" s="1">
        <f>VLOOKUP(C244,m_indikator!$A$2:$F$30,5,TRUE)</f>
        <v>100</v>
      </c>
      <c r="G244" s="15">
        <v>60</v>
      </c>
      <c r="H244" s="1">
        <f>VLOOKUP(C244,m_indikator!$A$2:$F$30,6,TRUE)</f>
        <v>2</v>
      </c>
      <c r="I244" s="15">
        <f t="shared" si="6"/>
        <v>1.2</v>
      </c>
      <c r="J244" t="str">
        <f t="shared" si="7"/>
        <v>update evaluasi set tahun = 1, nilai_maks = 100, nilai_input=60, bobot = 2, nilai_akhir = 1.2, id_indikator = 'C020250220' where id_evaluasi = '20250029_C020250404';</v>
      </c>
      <c r="P244" s="12"/>
      <c r="Q244" s="12"/>
    </row>
    <row r="245" spans="1:17" hidden="1" x14ac:dyDescent="0.35">
      <c r="A245" t="s">
        <v>319</v>
      </c>
      <c r="B245" t="s">
        <v>309</v>
      </c>
      <c r="C245" t="s">
        <v>71</v>
      </c>
      <c r="D245" t="s">
        <v>72</v>
      </c>
      <c r="E245" s="1">
        <v>1</v>
      </c>
      <c r="F245" s="1">
        <f>VLOOKUP(C245,m_indikator!$A$2:$F$30,5,TRUE)</f>
        <v>100</v>
      </c>
      <c r="G245" s="15">
        <v>32</v>
      </c>
      <c r="H245" s="1">
        <f>VLOOKUP(C245,m_indikator!$A$2:$F$30,6,TRUE)</f>
        <v>2</v>
      </c>
      <c r="I245" s="15">
        <f t="shared" si="6"/>
        <v>0.64</v>
      </c>
      <c r="J245" t="str">
        <f t="shared" si="7"/>
        <v>update evaluasi set tahun = 1, nilai_maks = 100, nilai_input=32, bobot = 2, nilai_akhir = 0.64, id_indikator = 'C020250220' where id_evaluasi = '20250030_C020250404';</v>
      </c>
      <c r="P245" s="12"/>
      <c r="Q245" s="12"/>
    </row>
    <row r="246" spans="1:17" hidden="1" x14ac:dyDescent="0.35">
      <c r="A246" t="s">
        <v>320</v>
      </c>
      <c r="B246" t="s">
        <v>309</v>
      </c>
      <c r="C246" t="s">
        <v>71</v>
      </c>
      <c r="D246" t="s">
        <v>72</v>
      </c>
      <c r="E246" s="1">
        <v>1</v>
      </c>
      <c r="F246" s="1">
        <f>VLOOKUP(C246,m_indikator!$A$2:$F$30,5,TRUE)</f>
        <v>100</v>
      </c>
      <c r="G246" s="15">
        <v>53</v>
      </c>
      <c r="H246" s="1">
        <f>VLOOKUP(C246,m_indikator!$A$2:$F$30,6,TRUE)</f>
        <v>2</v>
      </c>
      <c r="I246" s="15">
        <f t="shared" si="6"/>
        <v>1.06</v>
      </c>
      <c r="J246" t="str">
        <f t="shared" si="7"/>
        <v>update evaluasi set tahun = 1, nilai_maks = 100, nilai_input=53, bobot = 2, nilai_akhir = 1.06, id_indikator = 'C020250220' where id_evaluasi = '20250031_C020250404';</v>
      </c>
      <c r="P246" s="12"/>
      <c r="Q246" s="12"/>
    </row>
    <row r="247" spans="1:17" hidden="1" x14ac:dyDescent="0.35">
      <c r="A247" t="s">
        <v>321</v>
      </c>
      <c r="B247" t="s">
        <v>309</v>
      </c>
      <c r="C247" t="s">
        <v>71</v>
      </c>
      <c r="D247" t="s">
        <v>72</v>
      </c>
      <c r="E247" s="1">
        <v>1</v>
      </c>
      <c r="F247" s="1">
        <f>VLOOKUP(C247,m_indikator!$A$2:$F$30,5,TRUE)</f>
        <v>100</v>
      </c>
      <c r="G247" s="15">
        <v>6</v>
      </c>
      <c r="H247" s="1">
        <f>VLOOKUP(C247,m_indikator!$A$2:$F$30,6,TRUE)</f>
        <v>2</v>
      </c>
      <c r="I247" s="15">
        <f t="shared" si="6"/>
        <v>0.12</v>
      </c>
      <c r="J247" t="str">
        <f t="shared" si="7"/>
        <v>update evaluasi set tahun = 1, nilai_maks = 100, nilai_input=6, bobot = 2, nilai_akhir = 0.12, id_indikator = 'C020250220' where id_evaluasi = '20250032_C020250404';</v>
      </c>
      <c r="P247" s="12"/>
      <c r="Q247" s="12"/>
    </row>
    <row r="248" spans="1:17" hidden="1" x14ac:dyDescent="0.35">
      <c r="A248" t="s">
        <v>322</v>
      </c>
      <c r="B248" t="s">
        <v>309</v>
      </c>
      <c r="C248" t="s">
        <v>71</v>
      </c>
      <c r="D248" t="s">
        <v>72</v>
      </c>
      <c r="E248" s="1">
        <v>1</v>
      </c>
      <c r="F248" s="1">
        <f>VLOOKUP(C248,m_indikator!$A$2:$F$30,5,TRUE)</f>
        <v>100</v>
      </c>
      <c r="G248" s="15">
        <v>47</v>
      </c>
      <c r="H248" s="1">
        <f>VLOOKUP(C248,m_indikator!$A$2:$F$30,6,TRUE)</f>
        <v>2</v>
      </c>
      <c r="I248" s="15">
        <f t="shared" si="6"/>
        <v>0.94</v>
      </c>
      <c r="J248" t="str">
        <f t="shared" si="7"/>
        <v>update evaluasi set tahun = 1, nilai_maks = 100, nilai_input=47, bobot = 2, nilai_akhir = 0.94, id_indikator = 'C020250220' where id_evaluasi = '20250033_C020250404';</v>
      </c>
      <c r="P248" s="12"/>
      <c r="Q248" s="12"/>
    </row>
    <row r="249" spans="1:17" hidden="1" x14ac:dyDescent="0.35">
      <c r="A249" t="s">
        <v>323</v>
      </c>
      <c r="B249" t="s">
        <v>309</v>
      </c>
      <c r="C249" t="s">
        <v>71</v>
      </c>
      <c r="D249" t="s">
        <v>72</v>
      </c>
      <c r="E249" s="1">
        <v>1</v>
      </c>
      <c r="F249" s="1">
        <f>VLOOKUP(C249,m_indikator!$A$2:$F$30,5,TRUE)</f>
        <v>100</v>
      </c>
      <c r="G249" s="15">
        <v>39</v>
      </c>
      <c r="H249" s="1">
        <f>VLOOKUP(C249,m_indikator!$A$2:$F$30,6,TRUE)</f>
        <v>2</v>
      </c>
      <c r="I249" s="15">
        <f t="shared" si="6"/>
        <v>0.78</v>
      </c>
      <c r="J249" t="str">
        <f t="shared" si="7"/>
        <v>update evaluasi set tahun = 1, nilai_maks = 100, nilai_input=39, bobot = 2, nilai_akhir = 0.78, id_indikator = 'C020250220' where id_evaluasi = '20250034_C020250404';</v>
      </c>
      <c r="P249" s="12"/>
      <c r="Q249" s="12"/>
    </row>
    <row r="250" spans="1:17" hidden="1" x14ac:dyDescent="0.35">
      <c r="A250" t="s">
        <v>324</v>
      </c>
      <c r="B250" t="s">
        <v>309</v>
      </c>
      <c r="C250" t="s">
        <v>71</v>
      </c>
      <c r="D250" t="s">
        <v>72</v>
      </c>
      <c r="E250" s="1">
        <v>1</v>
      </c>
      <c r="F250" s="1">
        <f>VLOOKUP(C250,m_indikator!$A$2:$F$30,5,TRUE)</f>
        <v>100</v>
      </c>
      <c r="G250" s="15">
        <v>32</v>
      </c>
      <c r="H250" s="1">
        <f>VLOOKUP(C250,m_indikator!$A$2:$F$30,6,TRUE)</f>
        <v>2</v>
      </c>
      <c r="I250" s="15">
        <f t="shared" si="6"/>
        <v>0.64</v>
      </c>
      <c r="J250" t="str">
        <f t="shared" si="7"/>
        <v>update evaluasi set tahun = 1, nilai_maks = 100, nilai_input=32, bobot = 2, nilai_akhir = 0.64, id_indikator = 'C020250220' where id_evaluasi = '20250035_C020250404';</v>
      </c>
      <c r="P250" s="12"/>
      <c r="Q250" s="12"/>
    </row>
    <row r="251" spans="1:17" hidden="1" x14ac:dyDescent="0.35">
      <c r="A251" t="s">
        <v>325</v>
      </c>
      <c r="B251" t="s">
        <v>309</v>
      </c>
      <c r="C251" t="s">
        <v>71</v>
      </c>
      <c r="D251" t="s">
        <v>72</v>
      </c>
      <c r="E251" s="1">
        <v>1</v>
      </c>
      <c r="F251" s="1">
        <f>VLOOKUP(C251,m_indikator!$A$2:$F$30,5,TRUE)</f>
        <v>100</v>
      </c>
      <c r="G251" s="15">
        <v>35</v>
      </c>
      <c r="H251" s="1">
        <f>VLOOKUP(C251,m_indikator!$A$2:$F$30,6,TRUE)</f>
        <v>2</v>
      </c>
      <c r="I251" s="15">
        <f t="shared" si="6"/>
        <v>0.7</v>
      </c>
      <c r="J251" t="str">
        <f t="shared" si="7"/>
        <v>update evaluasi set tahun = 1, nilai_maks = 100, nilai_input=35, bobot = 2, nilai_akhir = 0.7, id_indikator = 'C020250220' where id_evaluasi = '20250036_C020250404';</v>
      </c>
      <c r="P251" s="12"/>
      <c r="Q251" s="12"/>
    </row>
    <row r="252" spans="1:17" hidden="1" x14ac:dyDescent="0.35">
      <c r="A252" t="s">
        <v>326</v>
      </c>
      <c r="B252" t="s">
        <v>309</v>
      </c>
      <c r="C252" t="s">
        <v>71</v>
      </c>
      <c r="D252" t="s">
        <v>72</v>
      </c>
      <c r="E252" s="1">
        <v>1</v>
      </c>
      <c r="F252" s="1">
        <f>VLOOKUP(C252,m_indikator!$A$2:$F$30,5,TRUE)</f>
        <v>100</v>
      </c>
      <c r="G252" s="15">
        <v>74</v>
      </c>
      <c r="H252" s="1">
        <f>VLOOKUP(C252,m_indikator!$A$2:$F$30,6,TRUE)</f>
        <v>2</v>
      </c>
      <c r="I252" s="15">
        <f t="shared" si="6"/>
        <v>1.48</v>
      </c>
      <c r="J252" t="str">
        <f t="shared" si="7"/>
        <v>update evaluasi set tahun = 1, nilai_maks = 100, nilai_input=74, bobot = 2, nilai_akhir = 1.48, id_indikator = 'C020250220' where id_evaluasi = '20250037_C020250404';</v>
      </c>
      <c r="P252" s="12"/>
      <c r="Q252" s="12"/>
    </row>
    <row r="253" spans="1:17" hidden="1" x14ac:dyDescent="0.35">
      <c r="A253" t="s">
        <v>327</v>
      </c>
      <c r="B253" t="s">
        <v>309</v>
      </c>
      <c r="C253" t="s">
        <v>71</v>
      </c>
      <c r="D253" t="s">
        <v>72</v>
      </c>
      <c r="E253" s="1">
        <v>1</v>
      </c>
      <c r="F253" s="1">
        <f>VLOOKUP(C253,m_indikator!$A$2:$F$30,5,TRUE)</f>
        <v>100</v>
      </c>
      <c r="G253" s="15">
        <v>29</v>
      </c>
      <c r="H253" s="1">
        <f>VLOOKUP(C253,m_indikator!$A$2:$F$30,6,TRUE)</f>
        <v>2</v>
      </c>
      <c r="I253" s="15">
        <f t="shared" si="6"/>
        <v>0.57999999999999996</v>
      </c>
      <c r="J253" t="str">
        <f t="shared" si="7"/>
        <v>update evaluasi set tahun = 1, nilai_maks = 100, nilai_input=29, bobot = 2, nilai_akhir = 0.58, id_indikator = 'C020250220' where id_evaluasi = '20250038_C020250404';</v>
      </c>
      <c r="P253" s="12"/>
      <c r="Q253" s="12"/>
    </row>
    <row r="254" spans="1:17" hidden="1" x14ac:dyDescent="0.35">
      <c r="A254" t="s">
        <v>328</v>
      </c>
      <c r="B254" t="s">
        <v>309</v>
      </c>
      <c r="C254" t="s">
        <v>71</v>
      </c>
      <c r="D254" t="s">
        <v>72</v>
      </c>
      <c r="E254" s="1">
        <v>1</v>
      </c>
      <c r="F254" s="1">
        <f>VLOOKUP(C254,m_indikator!$A$2:$F$30,5,TRUE)</f>
        <v>100</v>
      </c>
      <c r="G254" s="15">
        <v>41</v>
      </c>
      <c r="H254" s="1">
        <f>VLOOKUP(C254,m_indikator!$A$2:$F$30,6,TRUE)</f>
        <v>2</v>
      </c>
      <c r="I254" s="15">
        <f t="shared" si="6"/>
        <v>0.82</v>
      </c>
      <c r="J254" t="str">
        <f t="shared" si="7"/>
        <v>update evaluasi set tahun = 1, nilai_maks = 100, nilai_input=41, bobot = 2, nilai_akhir = 0.82, id_indikator = 'C020250220' where id_evaluasi = '20250039_C020250404';</v>
      </c>
      <c r="P254" s="12"/>
      <c r="Q254" s="12"/>
    </row>
    <row r="255" spans="1:17" hidden="1" x14ac:dyDescent="0.35">
      <c r="A255" t="s">
        <v>329</v>
      </c>
      <c r="B255" t="s">
        <v>309</v>
      </c>
      <c r="C255" t="s">
        <v>71</v>
      </c>
      <c r="D255" t="s">
        <v>72</v>
      </c>
      <c r="E255" s="1">
        <v>1</v>
      </c>
      <c r="F255" s="1">
        <f>VLOOKUP(C255,m_indikator!$A$2:$F$30,5,TRUE)</f>
        <v>100</v>
      </c>
      <c r="G255" s="15">
        <v>97</v>
      </c>
      <c r="H255" s="1">
        <f>VLOOKUP(C255,m_indikator!$A$2:$F$30,6,TRUE)</f>
        <v>2</v>
      </c>
      <c r="I255" s="15">
        <f t="shared" si="6"/>
        <v>1.94</v>
      </c>
      <c r="J255" t="str">
        <f t="shared" si="7"/>
        <v>update evaluasi set tahun = 1, nilai_maks = 100, nilai_input=97, bobot = 2, nilai_akhir = 1.94, id_indikator = 'C020250220' where id_evaluasi = '20250040_C020250404';</v>
      </c>
      <c r="P255" s="12"/>
      <c r="Q255" s="12"/>
    </row>
    <row r="256" spans="1:17" hidden="1" x14ac:dyDescent="0.35">
      <c r="A256" t="s">
        <v>330</v>
      </c>
      <c r="B256" t="s">
        <v>309</v>
      </c>
      <c r="C256" t="s">
        <v>71</v>
      </c>
      <c r="D256" t="s">
        <v>72</v>
      </c>
      <c r="E256" s="1">
        <v>1</v>
      </c>
      <c r="F256" s="1">
        <f>VLOOKUP(C256,m_indikator!$A$2:$F$30,5,TRUE)</f>
        <v>100</v>
      </c>
      <c r="G256" s="15">
        <v>74</v>
      </c>
      <c r="H256" s="1">
        <f>VLOOKUP(C256,m_indikator!$A$2:$F$30,6,TRUE)</f>
        <v>2</v>
      </c>
      <c r="I256" s="15">
        <f t="shared" si="6"/>
        <v>1.48</v>
      </c>
      <c r="J256" t="str">
        <f t="shared" si="7"/>
        <v>update evaluasi set tahun = 1, nilai_maks = 100, nilai_input=74, bobot = 2, nilai_akhir = 1.48, id_indikator = 'C020250220' where id_evaluasi = '20250041_C020250404';</v>
      </c>
      <c r="P256" s="12"/>
      <c r="Q256" s="12"/>
    </row>
    <row r="257" spans="1:17" hidden="1" x14ac:dyDescent="0.35">
      <c r="A257" t="s">
        <v>331</v>
      </c>
      <c r="B257" t="s">
        <v>309</v>
      </c>
      <c r="C257" t="s">
        <v>71</v>
      </c>
      <c r="D257" t="s">
        <v>72</v>
      </c>
      <c r="E257" s="1">
        <v>1</v>
      </c>
      <c r="F257" s="1">
        <f>VLOOKUP(C257,m_indikator!$A$2:$F$30,5,TRUE)</f>
        <v>100</v>
      </c>
      <c r="G257" s="15">
        <v>68</v>
      </c>
      <c r="H257" s="1">
        <f>VLOOKUP(C257,m_indikator!$A$2:$F$30,6,TRUE)</f>
        <v>2</v>
      </c>
      <c r="I257" s="15">
        <f t="shared" si="6"/>
        <v>1.36</v>
      </c>
      <c r="J257" t="str">
        <f t="shared" si="7"/>
        <v>update evaluasi set tahun = 1, nilai_maks = 100, nilai_input=68, bobot = 2, nilai_akhir = 1.36, id_indikator = 'C020250220' where id_evaluasi = '20250042_C020250404';</v>
      </c>
      <c r="P257" s="12"/>
      <c r="Q257" s="12"/>
    </row>
    <row r="258" spans="1:17" hidden="1" x14ac:dyDescent="0.35">
      <c r="A258" t="s">
        <v>332</v>
      </c>
      <c r="B258" t="s">
        <v>309</v>
      </c>
      <c r="C258" t="s">
        <v>71</v>
      </c>
      <c r="D258" t="s">
        <v>72</v>
      </c>
      <c r="E258" s="1">
        <v>1</v>
      </c>
      <c r="F258" s="1">
        <f>VLOOKUP(C258,m_indikator!$A$2:$F$30,5,TRUE)</f>
        <v>100</v>
      </c>
      <c r="G258" s="15">
        <v>91</v>
      </c>
      <c r="H258" s="1">
        <f>VLOOKUP(C258,m_indikator!$A$2:$F$30,6,TRUE)</f>
        <v>2</v>
      </c>
      <c r="I258" s="15">
        <f t="shared" ref="I258:I321" si="8">(G258/F258)*H258</f>
        <v>1.82</v>
      </c>
      <c r="J258" t="str">
        <f t="shared" ref="J258:J321" si="9">"update evaluasi set tahun = "&amp;E258&amp;", nilai_maks = "&amp;F258&amp;", nilai_input="&amp;G258&amp;", bobot = "&amp;H258&amp;", nilai_akhir = "&amp;I258&amp;", id_indikator = '"&amp;C258&amp;"' where id_evaluasi = '"&amp;A258&amp;"';"</f>
        <v>update evaluasi set tahun = 1, nilai_maks = 100, nilai_input=91, bobot = 2, nilai_akhir = 1.82, id_indikator = 'C020250220' where id_evaluasi = '20250043_C020250404';</v>
      </c>
      <c r="P258" s="12"/>
      <c r="Q258" s="12"/>
    </row>
    <row r="259" spans="1:17" hidden="1" x14ac:dyDescent="0.35">
      <c r="A259" t="s">
        <v>333</v>
      </c>
      <c r="B259" t="s">
        <v>309</v>
      </c>
      <c r="C259" t="s">
        <v>71</v>
      </c>
      <c r="D259" t="s">
        <v>72</v>
      </c>
      <c r="E259" s="1">
        <v>1</v>
      </c>
      <c r="F259" s="1">
        <f>VLOOKUP(C259,m_indikator!$A$2:$F$30,5,TRUE)</f>
        <v>100</v>
      </c>
      <c r="G259" s="15">
        <v>94</v>
      </c>
      <c r="H259" s="1">
        <f>VLOOKUP(C259,m_indikator!$A$2:$F$30,6,TRUE)</f>
        <v>2</v>
      </c>
      <c r="I259" s="15">
        <f t="shared" si="8"/>
        <v>1.88</v>
      </c>
      <c r="J259" t="str">
        <f t="shared" si="9"/>
        <v>update evaluasi set tahun = 1, nilai_maks = 100, nilai_input=94, bobot = 2, nilai_akhir = 1.88, id_indikator = 'C020250220' where id_evaluasi = '20250044_C020250404';</v>
      </c>
      <c r="P259" s="12"/>
      <c r="Q259" s="12"/>
    </row>
    <row r="260" spans="1:17" hidden="1" x14ac:dyDescent="0.35">
      <c r="A260" t="s">
        <v>334</v>
      </c>
      <c r="B260" t="s">
        <v>309</v>
      </c>
      <c r="C260" t="s">
        <v>71</v>
      </c>
      <c r="D260" t="s">
        <v>72</v>
      </c>
      <c r="E260" s="1">
        <v>1</v>
      </c>
      <c r="F260" s="1">
        <f>VLOOKUP(C260,m_indikator!$A$2:$F$30,5,TRUE)</f>
        <v>100</v>
      </c>
      <c r="G260" s="15">
        <v>15</v>
      </c>
      <c r="H260" s="1">
        <f>VLOOKUP(C260,m_indikator!$A$2:$F$30,6,TRUE)</f>
        <v>2</v>
      </c>
      <c r="I260" s="15">
        <f t="shared" si="8"/>
        <v>0.3</v>
      </c>
      <c r="J260" t="str">
        <f t="shared" si="9"/>
        <v>update evaluasi set tahun = 1, nilai_maks = 100, nilai_input=15, bobot = 2, nilai_akhir = 0.3, id_indikator = 'C020250220' where id_evaluasi = '20250045_C020250404';</v>
      </c>
      <c r="P260" s="12"/>
      <c r="Q260" s="12"/>
    </row>
    <row r="261" spans="1:17" hidden="1" x14ac:dyDescent="0.35">
      <c r="A261" t="s">
        <v>335</v>
      </c>
      <c r="B261" t="s">
        <v>309</v>
      </c>
      <c r="C261" t="s">
        <v>71</v>
      </c>
      <c r="D261" t="s">
        <v>72</v>
      </c>
      <c r="E261" s="1">
        <v>1</v>
      </c>
      <c r="F261" s="1">
        <f>VLOOKUP(C261,m_indikator!$A$2:$F$30,5,TRUE)</f>
        <v>100</v>
      </c>
      <c r="G261" s="15">
        <v>71</v>
      </c>
      <c r="H261" s="1">
        <f>VLOOKUP(C261,m_indikator!$A$2:$F$30,6,TRUE)</f>
        <v>2</v>
      </c>
      <c r="I261" s="15">
        <f t="shared" si="8"/>
        <v>1.42</v>
      </c>
      <c r="J261" t="str">
        <f t="shared" si="9"/>
        <v>update evaluasi set tahun = 1, nilai_maks = 100, nilai_input=71, bobot = 2, nilai_akhir = 1.42, id_indikator = 'C020250220' where id_evaluasi = '20250046_C020250404';</v>
      </c>
      <c r="P261" s="12"/>
      <c r="Q261" s="12"/>
    </row>
    <row r="262" spans="1:17" hidden="1" x14ac:dyDescent="0.35">
      <c r="A262" t="s">
        <v>336</v>
      </c>
      <c r="B262" t="s">
        <v>309</v>
      </c>
      <c r="C262" t="s">
        <v>71</v>
      </c>
      <c r="D262" t="s">
        <v>72</v>
      </c>
      <c r="E262" s="1">
        <v>1</v>
      </c>
      <c r="F262" s="1">
        <f>VLOOKUP(C262,m_indikator!$A$2:$F$30,5,TRUE)</f>
        <v>100</v>
      </c>
      <c r="G262" s="15">
        <v>62</v>
      </c>
      <c r="H262" s="1">
        <f>VLOOKUP(C262,m_indikator!$A$2:$F$30,6,TRUE)</f>
        <v>2</v>
      </c>
      <c r="I262" s="15">
        <f t="shared" si="8"/>
        <v>1.24</v>
      </c>
      <c r="J262" t="str">
        <f t="shared" si="9"/>
        <v>update evaluasi set tahun = 1, nilai_maks = 100, nilai_input=62, bobot = 2, nilai_akhir = 1.24, id_indikator = 'C020250220' where id_evaluasi = '20250047_C020250404';</v>
      </c>
      <c r="P262" s="12"/>
      <c r="Q262" s="12"/>
    </row>
    <row r="263" spans="1:17" hidden="1" x14ac:dyDescent="0.35">
      <c r="A263" t="s">
        <v>337</v>
      </c>
      <c r="B263" t="s">
        <v>309</v>
      </c>
      <c r="C263" t="s">
        <v>71</v>
      </c>
      <c r="D263" t="s">
        <v>72</v>
      </c>
      <c r="E263" s="1">
        <v>1</v>
      </c>
      <c r="F263" s="1">
        <f>VLOOKUP(C263,m_indikator!$A$2:$F$30,5,TRUE)</f>
        <v>100</v>
      </c>
      <c r="G263" s="15">
        <v>68</v>
      </c>
      <c r="H263" s="1">
        <f>VLOOKUP(C263,m_indikator!$A$2:$F$30,6,TRUE)</f>
        <v>2</v>
      </c>
      <c r="I263" s="15">
        <f t="shared" si="8"/>
        <v>1.36</v>
      </c>
      <c r="J263" t="str">
        <f t="shared" si="9"/>
        <v>update evaluasi set tahun = 1, nilai_maks = 100, nilai_input=68, bobot = 2, nilai_akhir = 1.36, id_indikator = 'C020250220' where id_evaluasi = '20250048_C020250404';</v>
      </c>
      <c r="P263" s="12"/>
      <c r="Q263" s="12"/>
    </row>
    <row r="264" spans="1:17" hidden="1" x14ac:dyDescent="0.35">
      <c r="A264" t="s">
        <v>338</v>
      </c>
      <c r="B264" t="s">
        <v>309</v>
      </c>
      <c r="C264" t="s">
        <v>71</v>
      </c>
      <c r="D264" t="s">
        <v>72</v>
      </c>
      <c r="E264" s="1">
        <v>1</v>
      </c>
      <c r="F264" s="1">
        <f>VLOOKUP(C264,m_indikator!$A$2:$F$30,5,TRUE)</f>
        <v>100</v>
      </c>
      <c r="G264" s="15">
        <v>30</v>
      </c>
      <c r="H264" s="1">
        <f>VLOOKUP(C264,m_indikator!$A$2:$F$30,6,TRUE)</f>
        <v>2</v>
      </c>
      <c r="I264" s="15">
        <f t="shared" si="8"/>
        <v>0.6</v>
      </c>
      <c r="J264" t="str">
        <f t="shared" si="9"/>
        <v>update evaluasi set tahun = 1, nilai_maks = 100, nilai_input=30, bobot = 2, nilai_akhir = 0.6, id_indikator = 'C020250220' where id_evaluasi = '20250049_C020250404';</v>
      </c>
      <c r="P264" s="12"/>
      <c r="Q264" s="12"/>
    </row>
    <row r="265" spans="1:17" hidden="1" x14ac:dyDescent="0.35">
      <c r="A265" t="s">
        <v>339</v>
      </c>
      <c r="B265" t="s">
        <v>309</v>
      </c>
      <c r="C265" t="s">
        <v>71</v>
      </c>
      <c r="D265" t="s">
        <v>72</v>
      </c>
      <c r="E265" s="1">
        <v>1</v>
      </c>
      <c r="F265" s="1">
        <f>VLOOKUP(C265,m_indikator!$A$2:$F$30,5,TRUE)</f>
        <v>100</v>
      </c>
      <c r="G265" s="15">
        <v>33</v>
      </c>
      <c r="H265" s="1">
        <f>VLOOKUP(C265,m_indikator!$A$2:$F$30,6,TRUE)</f>
        <v>2</v>
      </c>
      <c r="I265" s="15">
        <f t="shared" si="8"/>
        <v>0.66</v>
      </c>
      <c r="J265" t="str">
        <f t="shared" si="9"/>
        <v>update evaluasi set tahun = 1, nilai_maks = 100, nilai_input=33, bobot = 2, nilai_akhir = 0.66, id_indikator = 'C020250220' where id_evaluasi = '20250050_C020250404';</v>
      </c>
      <c r="P265" s="12"/>
      <c r="Q265" s="12"/>
    </row>
    <row r="266" spans="1:17" hidden="1" x14ac:dyDescent="0.35">
      <c r="A266" t="s">
        <v>340</v>
      </c>
      <c r="B266" t="s">
        <v>309</v>
      </c>
      <c r="C266" t="s">
        <v>71</v>
      </c>
      <c r="D266" t="s">
        <v>72</v>
      </c>
      <c r="E266" s="1">
        <v>1</v>
      </c>
      <c r="F266" s="1">
        <f>VLOOKUP(C266,m_indikator!$A$2:$F$30,5,TRUE)</f>
        <v>100</v>
      </c>
      <c r="G266" s="15">
        <v>21</v>
      </c>
      <c r="H266" s="1">
        <f>VLOOKUP(C266,m_indikator!$A$2:$F$30,6,TRUE)</f>
        <v>2</v>
      </c>
      <c r="I266" s="15">
        <f t="shared" si="8"/>
        <v>0.42</v>
      </c>
      <c r="J266" t="str">
        <f t="shared" si="9"/>
        <v>update evaluasi set tahun = 1, nilai_maks = 100, nilai_input=21, bobot = 2, nilai_akhir = 0.42, id_indikator = 'C020250220' where id_evaluasi = '20250051_C020250404';</v>
      </c>
      <c r="P266" s="12"/>
      <c r="Q266" s="12"/>
    </row>
    <row r="267" spans="1:17" hidden="1" x14ac:dyDescent="0.35">
      <c r="A267" t="s">
        <v>341</v>
      </c>
      <c r="B267" t="s">
        <v>309</v>
      </c>
      <c r="C267" t="s">
        <v>71</v>
      </c>
      <c r="D267" t="s">
        <v>72</v>
      </c>
      <c r="E267" s="1">
        <v>1</v>
      </c>
      <c r="F267" s="1">
        <f>VLOOKUP(C267,m_indikator!$A$2:$F$30,5,TRUE)</f>
        <v>100</v>
      </c>
      <c r="G267" s="15">
        <v>23</v>
      </c>
      <c r="H267" s="1">
        <f>VLOOKUP(C267,m_indikator!$A$2:$F$30,6,TRUE)</f>
        <v>2</v>
      </c>
      <c r="I267" s="15">
        <f t="shared" si="8"/>
        <v>0.46</v>
      </c>
      <c r="J267" t="str">
        <f t="shared" si="9"/>
        <v>update evaluasi set tahun = 1, nilai_maks = 100, nilai_input=23, bobot = 2, nilai_akhir = 0.46, id_indikator = 'C020250220' where id_evaluasi = '20250052_C020250404';</v>
      </c>
      <c r="P267" s="12"/>
      <c r="Q267" s="12"/>
    </row>
    <row r="268" spans="1:17" hidden="1" x14ac:dyDescent="0.35">
      <c r="A268" t="s">
        <v>342</v>
      </c>
      <c r="B268" t="s">
        <v>309</v>
      </c>
      <c r="C268" t="s">
        <v>71</v>
      </c>
      <c r="D268" t="s">
        <v>72</v>
      </c>
      <c r="E268" s="1">
        <v>1</v>
      </c>
      <c r="F268" s="1">
        <f>VLOOKUP(C268,m_indikator!$A$2:$F$30,5,TRUE)</f>
        <v>100</v>
      </c>
      <c r="G268" s="15">
        <v>3</v>
      </c>
      <c r="H268" s="1">
        <f>VLOOKUP(C268,m_indikator!$A$2:$F$30,6,TRUE)</f>
        <v>2</v>
      </c>
      <c r="I268" s="15">
        <f t="shared" si="8"/>
        <v>0.06</v>
      </c>
      <c r="J268" t="str">
        <f t="shared" si="9"/>
        <v>update evaluasi set tahun = 1, nilai_maks = 100, nilai_input=3, bobot = 2, nilai_akhir = 0.06, id_indikator = 'C020250220' where id_evaluasi = '20250053_C020250404';</v>
      </c>
      <c r="P268" s="12"/>
      <c r="Q268" s="12"/>
    </row>
    <row r="269" spans="1:17" hidden="1" x14ac:dyDescent="0.35">
      <c r="A269" t="s">
        <v>343</v>
      </c>
      <c r="B269" t="s">
        <v>309</v>
      </c>
      <c r="C269" t="s">
        <v>71</v>
      </c>
      <c r="D269" t="s">
        <v>72</v>
      </c>
      <c r="E269" s="1">
        <v>1</v>
      </c>
      <c r="F269" s="1">
        <f>VLOOKUP(C269,m_indikator!$A$2:$F$30,5,TRUE)</f>
        <v>100</v>
      </c>
      <c r="G269" s="15">
        <v>56</v>
      </c>
      <c r="H269" s="1">
        <f>VLOOKUP(C269,m_indikator!$A$2:$F$30,6,TRUE)</f>
        <v>2</v>
      </c>
      <c r="I269" s="15">
        <f t="shared" si="8"/>
        <v>1.1200000000000001</v>
      </c>
      <c r="J269" t="str">
        <f t="shared" si="9"/>
        <v>update evaluasi set tahun = 1, nilai_maks = 100, nilai_input=56, bobot = 2, nilai_akhir = 1.12, id_indikator = 'C020250220' where id_evaluasi = '20250054_C020250404';</v>
      </c>
      <c r="P269" s="12"/>
      <c r="Q269" s="12"/>
    </row>
    <row r="270" spans="1:17" hidden="1" x14ac:dyDescent="0.35">
      <c r="A270" t="s">
        <v>344</v>
      </c>
      <c r="B270" t="s">
        <v>309</v>
      </c>
      <c r="C270" t="s">
        <v>71</v>
      </c>
      <c r="D270" t="s">
        <v>72</v>
      </c>
      <c r="E270" s="1">
        <v>1</v>
      </c>
      <c r="F270" s="1">
        <f>VLOOKUP(C270,m_indikator!$A$2:$F$30,5,TRUE)</f>
        <v>100</v>
      </c>
      <c r="G270" s="15">
        <v>32</v>
      </c>
      <c r="H270" s="1">
        <f>VLOOKUP(C270,m_indikator!$A$2:$F$30,6,TRUE)</f>
        <v>2</v>
      </c>
      <c r="I270" s="15">
        <f t="shared" si="8"/>
        <v>0.64</v>
      </c>
      <c r="J270" t="str">
        <f t="shared" si="9"/>
        <v>update evaluasi set tahun = 1, nilai_maks = 100, nilai_input=32, bobot = 2, nilai_akhir = 0.64, id_indikator = 'C020250220' where id_evaluasi = '20250055_C020250404';</v>
      </c>
      <c r="P270" s="12"/>
      <c r="Q270" s="12"/>
    </row>
    <row r="271" spans="1:17" hidden="1" x14ac:dyDescent="0.35">
      <c r="A271" t="s">
        <v>345</v>
      </c>
      <c r="B271" t="s">
        <v>309</v>
      </c>
      <c r="C271" t="s">
        <v>71</v>
      </c>
      <c r="D271" t="s">
        <v>72</v>
      </c>
      <c r="E271" s="1">
        <v>1</v>
      </c>
      <c r="F271" s="1">
        <f>VLOOKUP(C271,m_indikator!$A$2:$F$30,5,TRUE)</f>
        <v>100</v>
      </c>
      <c r="G271" s="15">
        <v>80</v>
      </c>
      <c r="H271" s="1">
        <f>VLOOKUP(C271,m_indikator!$A$2:$F$30,6,TRUE)</f>
        <v>2</v>
      </c>
      <c r="I271" s="15">
        <f t="shared" si="8"/>
        <v>1.6</v>
      </c>
      <c r="J271" t="str">
        <f t="shared" si="9"/>
        <v>update evaluasi set tahun = 1, nilai_maks = 100, nilai_input=80, bobot = 2, nilai_akhir = 1.6, id_indikator = 'C020250220' where id_evaluasi = '20250095_C020250404';</v>
      </c>
      <c r="P271" s="12"/>
      <c r="Q271" s="12"/>
    </row>
    <row r="272" spans="1:17" hidden="1" x14ac:dyDescent="0.35">
      <c r="A272" t="s">
        <v>346</v>
      </c>
      <c r="B272" t="s">
        <v>309</v>
      </c>
      <c r="C272" t="s">
        <v>71</v>
      </c>
      <c r="D272" t="s">
        <v>72</v>
      </c>
      <c r="E272" s="1">
        <v>1</v>
      </c>
      <c r="F272" s="1">
        <f>VLOOKUP(C272,m_indikator!$A$2:$F$30,5,TRUE)</f>
        <v>100</v>
      </c>
      <c r="G272" s="15">
        <v>80</v>
      </c>
      <c r="H272" s="1">
        <f>VLOOKUP(C272,m_indikator!$A$2:$F$30,6,TRUE)</f>
        <v>2</v>
      </c>
      <c r="I272" s="15">
        <f t="shared" si="8"/>
        <v>1.6</v>
      </c>
      <c r="J272" t="str">
        <f t="shared" si="9"/>
        <v>update evaluasi set tahun = 1, nilai_maks = 100, nilai_input=80, bobot = 2, nilai_akhir = 1.6, id_indikator = 'C020250220' where id_evaluasi = '20250103_C020250404';</v>
      </c>
      <c r="P272" s="12"/>
      <c r="Q272" s="12"/>
    </row>
    <row r="273" spans="1:17" hidden="1" x14ac:dyDescent="0.35">
      <c r="A273" t="s">
        <v>347</v>
      </c>
      <c r="B273" t="s">
        <v>309</v>
      </c>
      <c r="C273" t="s">
        <v>71</v>
      </c>
      <c r="D273" t="s">
        <v>72</v>
      </c>
      <c r="E273" s="1">
        <v>1</v>
      </c>
      <c r="F273" s="1">
        <f>VLOOKUP(C273,m_indikator!$A$2:$F$30,5,TRUE)</f>
        <v>100</v>
      </c>
      <c r="G273" s="15">
        <v>59</v>
      </c>
      <c r="H273" s="1">
        <f>VLOOKUP(C273,m_indikator!$A$2:$F$30,6,TRUE)</f>
        <v>2</v>
      </c>
      <c r="I273" s="15">
        <f t="shared" si="8"/>
        <v>1.18</v>
      </c>
      <c r="J273" t="str">
        <f t="shared" si="9"/>
        <v>update evaluasi set tahun = 1, nilai_maks = 100, nilai_input=59, bobot = 2, nilai_akhir = 1.18, id_indikator = 'C020250220' where id_evaluasi = '20250104_C020250404';</v>
      </c>
      <c r="P273" s="12"/>
      <c r="Q273" s="12"/>
    </row>
    <row r="274" spans="1:17" hidden="1" x14ac:dyDescent="0.35">
      <c r="A274" t="s">
        <v>348</v>
      </c>
      <c r="B274" t="s">
        <v>309</v>
      </c>
      <c r="C274" t="s">
        <v>71</v>
      </c>
      <c r="D274" t="s">
        <v>72</v>
      </c>
      <c r="E274" s="1">
        <v>1</v>
      </c>
      <c r="F274" s="1">
        <f>VLOOKUP(C274,m_indikator!$A$2:$F$30,5,TRUE)</f>
        <v>100</v>
      </c>
      <c r="G274" s="15">
        <v>74</v>
      </c>
      <c r="H274" s="1">
        <f>VLOOKUP(C274,m_indikator!$A$2:$F$30,6,TRUE)</f>
        <v>2</v>
      </c>
      <c r="I274" s="15">
        <f t="shared" si="8"/>
        <v>1.48</v>
      </c>
      <c r="J274" t="str">
        <f t="shared" si="9"/>
        <v>update evaluasi set tahun = 1, nilai_maks = 100, nilai_input=74, bobot = 2, nilai_akhir = 1.48, id_indikator = 'C020250220' where id_evaluasi = '20250105_C020250404';</v>
      </c>
      <c r="P274" s="12"/>
      <c r="Q274" s="12"/>
    </row>
    <row r="275" spans="1:17" hidden="1" x14ac:dyDescent="0.35">
      <c r="A275" t="s">
        <v>349</v>
      </c>
      <c r="B275" t="s">
        <v>309</v>
      </c>
      <c r="C275" t="s">
        <v>71</v>
      </c>
      <c r="D275" t="s">
        <v>72</v>
      </c>
      <c r="E275" s="1">
        <v>1</v>
      </c>
      <c r="F275" s="1">
        <f>VLOOKUP(C275,m_indikator!$A$2:$F$30,5,TRUE)</f>
        <v>100</v>
      </c>
      <c r="G275" s="15">
        <v>80</v>
      </c>
      <c r="H275" s="1">
        <f>VLOOKUP(C275,m_indikator!$A$2:$F$30,6,TRUE)</f>
        <v>2</v>
      </c>
      <c r="I275" s="15">
        <f t="shared" si="8"/>
        <v>1.6</v>
      </c>
      <c r="J275" t="str">
        <f t="shared" si="9"/>
        <v>update evaluasi set tahun = 1, nilai_maks = 100, nilai_input=80, bobot = 2, nilai_akhir = 1.6, id_indikator = 'C020250220' where id_evaluasi = '20250106_C020250404';</v>
      </c>
      <c r="P275" s="12"/>
      <c r="Q275" s="12"/>
    </row>
    <row r="276" spans="1:17" hidden="1" x14ac:dyDescent="0.35">
      <c r="A276" t="s">
        <v>350</v>
      </c>
      <c r="B276" t="s">
        <v>309</v>
      </c>
      <c r="C276" t="s">
        <v>71</v>
      </c>
      <c r="D276" t="s">
        <v>72</v>
      </c>
      <c r="E276" s="1">
        <v>1</v>
      </c>
      <c r="F276" s="1">
        <f>VLOOKUP(C276,m_indikator!$A$2:$F$30,5,TRUE)</f>
        <v>100</v>
      </c>
      <c r="G276" s="15">
        <v>91</v>
      </c>
      <c r="H276" s="1">
        <f>VLOOKUP(C276,m_indikator!$A$2:$F$30,6,TRUE)</f>
        <v>2</v>
      </c>
      <c r="I276" s="15">
        <f t="shared" si="8"/>
        <v>1.82</v>
      </c>
      <c r="J276" t="str">
        <f t="shared" si="9"/>
        <v>update evaluasi set tahun = 1, nilai_maks = 100, nilai_input=91, bobot = 2, nilai_akhir = 1.82, id_indikator = 'C020250220' where id_evaluasi = '20250107_C020250404';</v>
      </c>
      <c r="P276" s="12"/>
      <c r="Q276" s="12"/>
    </row>
    <row r="277" spans="1:17" hidden="1" x14ac:dyDescent="0.35">
      <c r="A277" t="s">
        <v>351</v>
      </c>
      <c r="B277" t="s">
        <v>309</v>
      </c>
      <c r="C277" t="s">
        <v>71</v>
      </c>
      <c r="D277" t="s">
        <v>72</v>
      </c>
      <c r="E277" s="1">
        <v>1</v>
      </c>
      <c r="F277" s="1">
        <f>VLOOKUP(C277,m_indikator!$A$2:$F$30,5,TRUE)</f>
        <v>100</v>
      </c>
      <c r="G277" s="15">
        <v>88</v>
      </c>
      <c r="H277" s="1">
        <f>VLOOKUP(C277,m_indikator!$A$2:$F$30,6,TRUE)</f>
        <v>2</v>
      </c>
      <c r="I277" s="15">
        <f t="shared" si="8"/>
        <v>1.76</v>
      </c>
      <c r="J277" t="str">
        <f t="shared" si="9"/>
        <v>update evaluasi set tahun = 1, nilai_maks = 100, nilai_input=88, bobot = 2, nilai_akhir = 1.76, id_indikator = 'C020250220' where id_evaluasi = '20250108_C020250404';</v>
      </c>
      <c r="P277" s="12"/>
      <c r="Q277" s="12"/>
    </row>
    <row r="278" spans="1:17" hidden="1" x14ac:dyDescent="0.35">
      <c r="A278" t="s">
        <v>352</v>
      </c>
      <c r="B278" t="s">
        <v>309</v>
      </c>
      <c r="C278" t="s">
        <v>71</v>
      </c>
      <c r="D278" t="s">
        <v>72</v>
      </c>
      <c r="E278" s="1">
        <v>1</v>
      </c>
      <c r="F278" s="1">
        <f>VLOOKUP(C278,m_indikator!$A$2:$F$30,5,TRUE)</f>
        <v>100</v>
      </c>
      <c r="G278" s="15">
        <v>57</v>
      </c>
      <c r="H278" s="1">
        <f>VLOOKUP(C278,m_indikator!$A$2:$F$30,6,TRUE)</f>
        <v>2</v>
      </c>
      <c r="I278" s="15">
        <f t="shared" si="8"/>
        <v>1.1399999999999999</v>
      </c>
      <c r="J278" t="str">
        <f t="shared" si="9"/>
        <v>update evaluasi set tahun = 1, nilai_maks = 100, nilai_input=57, bobot = 2, nilai_akhir = 1.14, id_indikator = 'C020250220' where id_evaluasi = '20250109_C020250404';</v>
      </c>
      <c r="P278" s="12"/>
      <c r="Q278" s="12"/>
    </row>
    <row r="279" spans="1:17" hidden="1" x14ac:dyDescent="0.35">
      <c r="A279" t="s">
        <v>353</v>
      </c>
      <c r="B279" t="s">
        <v>309</v>
      </c>
      <c r="C279" t="s">
        <v>71</v>
      </c>
      <c r="D279" t="s">
        <v>72</v>
      </c>
      <c r="E279" s="1">
        <v>1</v>
      </c>
      <c r="F279" s="1">
        <f>VLOOKUP(C279,m_indikator!$A$2:$F$30,5,TRUE)</f>
        <v>100</v>
      </c>
      <c r="G279" s="15">
        <v>77</v>
      </c>
      <c r="H279" s="1">
        <f>VLOOKUP(C279,m_indikator!$A$2:$F$30,6,TRUE)</f>
        <v>2</v>
      </c>
      <c r="I279" s="15">
        <f t="shared" si="8"/>
        <v>1.54</v>
      </c>
      <c r="J279" t="str">
        <f t="shared" si="9"/>
        <v>update evaluasi set tahun = 1, nilai_maks = 100, nilai_input=77, bobot = 2, nilai_akhir = 1.54, id_indikator = 'C020250220' where id_evaluasi = '20250110_C020250404';</v>
      </c>
      <c r="P279" s="12"/>
      <c r="Q279" s="12"/>
    </row>
    <row r="280" spans="1:17" hidden="1" x14ac:dyDescent="0.35">
      <c r="A280" t="s">
        <v>373</v>
      </c>
      <c r="B280" t="s">
        <v>374</v>
      </c>
      <c r="C280" t="s">
        <v>75</v>
      </c>
      <c r="D280" t="s">
        <v>76</v>
      </c>
      <c r="E280" s="1">
        <v>1</v>
      </c>
      <c r="F280" s="1">
        <f>VLOOKUP(C280,m_indikator!$A$2:$F$30,5,TRUE)</f>
        <v>100</v>
      </c>
      <c r="G280" s="15">
        <v>93</v>
      </c>
      <c r="H280" s="1">
        <f>VLOOKUP(C280,m_indikator!$A$2:$F$30,6,TRUE)</f>
        <v>4</v>
      </c>
      <c r="I280" s="15">
        <f t="shared" si="8"/>
        <v>3.72</v>
      </c>
      <c r="J280" t="str">
        <f t="shared" si="9"/>
        <v>update evaluasi set tahun = 1, nilai_maks = 100, nilai_input=93, bobot = 4, nilai_akhir = 3.72, id_indikator = 'C020250223' where id_evaluasi = '20250001_C020250503';</v>
      </c>
      <c r="P280" s="12"/>
      <c r="Q280" s="12"/>
    </row>
    <row r="281" spans="1:17" hidden="1" x14ac:dyDescent="0.35">
      <c r="A281" t="s">
        <v>375</v>
      </c>
      <c r="B281" t="s">
        <v>374</v>
      </c>
      <c r="C281" t="s">
        <v>75</v>
      </c>
      <c r="D281" t="s">
        <v>76</v>
      </c>
      <c r="E281" s="1">
        <v>1</v>
      </c>
      <c r="F281" s="1">
        <f>VLOOKUP(C281,m_indikator!$A$2:$F$30,5,TRUE)</f>
        <v>100</v>
      </c>
      <c r="G281" s="15">
        <v>94</v>
      </c>
      <c r="H281" s="1">
        <f>VLOOKUP(C281,m_indikator!$A$2:$F$30,6,TRUE)</f>
        <v>4</v>
      </c>
      <c r="I281" s="15">
        <f t="shared" si="8"/>
        <v>3.76</v>
      </c>
      <c r="J281" t="str">
        <f t="shared" si="9"/>
        <v>update evaluasi set tahun = 1, nilai_maks = 100, nilai_input=94, bobot = 4, nilai_akhir = 3.76, id_indikator = 'C020250223' where id_evaluasi = '20250002_C020250503';</v>
      </c>
      <c r="P281" s="12"/>
      <c r="Q281" s="12"/>
    </row>
    <row r="282" spans="1:17" hidden="1" x14ac:dyDescent="0.35">
      <c r="A282" t="s">
        <v>376</v>
      </c>
      <c r="B282" t="s">
        <v>374</v>
      </c>
      <c r="C282" t="s">
        <v>75</v>
      </c>
      <c r="D282" t="s">
        <v>76</v>
      </c>
      <c r="E282" s="1">
        <v>1</v>
      </c>
      <c r="F282" s="1">
        <f>VLOOKUP(C282,m_indikator!$A$2:$F$30,5,TRUE)</f>
        <v>100</v>
      </c>
      <c r="G282" s="15">
        <v>96</v>
      </c>
      <c r="H282" s="1">
        <f>VLOOKUP(C282,m_indikator!$A$2:$F$30,6,TRUE)</f>
        <v>4</v>
      </c>
      <c r="I282" s="15">
        <f t="shared" si="8"/>
        <v>3.84</v>
      </c>
      <c r="J282" t="str">
        <f t="shared" si="9"/>
        <v>update evaluasi set tahun = 1, nilai_maks = 100, nilai_input=96, bobot = 4, nilai_akhir = 3.84, id_indikator = 'C020250223' where id_evaluasi = '20250003_C020250503';</v>
      </c>
      <c r="P282" s="12"/>
      <c r="Q282" s="12"/>
    </row>
    <row r="283" spans="1:17" hidden="1" x14ac:dyDescent="0.35">
      <c r="A283" t="s">
        <v>377</v>
      </c>
      <c r="B283" t="s">
        <v>374</v>
      </c>
      <c r="C283" t="s">
        <v>75</v>
      </c>
      <c r="D283" t="s">
        <v>76</v>
      </c>
      <c r="E283" s="1">
        <v>1</v>
      </c>
      <c r="F283" s="1">
        <f>VLOOKUP(C283,m_indikator!$A$2:$F$30,5,TRUE)</f>
        <v>100</v>
      </c>
      <c r="G283" s="15">
        <v>94</v>
      </c>
      <c r="H283" s="1">
        <f>VLOOKUP(C283,m_indikator!$A$2:$F$30,6,TRUE)</f>
        <v>4</v>
      </c>
      <c r="I283" s="15">
        <f t="shared" si="8"/>
        <v>3.76</v>
      </c>
      <c r="J283" t="str">
        <f t="shared" si="9"/>
        <v>update evaluasi set tahun = 1, nilai_maks = 100, nilai_input=94, bobot = 4, nilai_akhir = 3.76, id_indikator = 'C020250223' where id_evaluasi = '20250004_C020250503';</v>
      </c>
      <c r="P283" s="12"/>
      <c r="Q283" s="12"/>
    </row>
    <row r="284" spans="1:17" hidden="1" x14ac:dyDescent="0.35">
      <c r="A284" t="s">
        <v>378</v>
      </c>
      <c r="B284" t="s">
        <v>374</v>
      </c>
      <c r="C284" t="s">
        <v>75</v>
      </c>
      <c r="D284" t="s">
        <v>76</v>
      </c>
      <c r="E284" s="1">
        <v>1</v>
      </c>
      <c r="F284" s="1">
        <f>VLOOKUP(C284,m_indikator!$A$2:$F$30,5,TRUE)</f>
        <v>100</v>
      </c>
      <c r="G284" s="15">
        <v>92</v>
      </c>
      <c r="H284" s="1">
        <f>VLOOKUP(C284,m_indikator!$A$2:$F$30,6,TRUE)</f>
        <v>4</v>
      </c>
      <c r="I284" s="15">
        <f t="shared" si="8"/>
        <v>3.68</v>
      </c>
      <c r="J284" t="str">
        <f t="shared" si="9"/>
        <v>update evaluasi set tahun = 1, nilai_maks = 100, nilai_input=92, bobot = 4, nilai_akhir = 3.68, id_indikator = 'C020250223' where id_evaluasi = '20250006_C020250503';</v>
      </c>
      <c r="P284" s="12"/>
      <c r="Q284" s="12"/>
    </row>
    <row r="285" spans="1:17" hidden="1" x14ac:dyDescent="0.35">
      <c r="A285" t="s">
        <v>379</v>
      </c>
      <c r="B285" t="s">
        <v>374</v>
      </c>
      <c r="C285" t="s">
        <v>75</v>
      </c>
      <c r="D285" t="s">
        <v>76</v>
      </c>
      <c r="E285" s="1">
        <v>1</v>
      </c>
      <c r="F285" s="1">
        <f>VLOOKUP(C285,m_indikator!$A$2:$F$30,5,TRUE)</f>
        <v>100</v>
      </c>
      <c r="G285" s="15">
        <v>90</v>
      </c>
      <c r="H285" s="1">
        <f>VLOOKUP(C285,m_indikator!$A$2:$F$30,6,TRUE)</f>
        <v>4</v>
      </c>
      <c r="I285" s="15">
        <f t="shared" si="8"/>
        <v>3.6</v>
      </c>
      <c r="J285" t="str">
        <f t="shared" si="9"/>
        <v>update evaluasi set tahun = 1, nilai_maks = 100, nilai_input=90, bobot = 4, nilai_akhir = 3.6, id_indikator = 'C020250223' where id_evaluasi = '20250007_C020250503';</v>
      </c>
      <c r="P285" s="12"/>
      <c r="Q285" s="12"/>
    </row>
    <row r="286" spans="1:17" hidden="1" x14ac:dyDescent="0.35">
      <c r="A286" t="s">
        <v>380</v>
      </c>
      <c r="B286" t="s">
        <v>374</v>
      </c>
      <c r="C286" t="s">
        <v>75</v>
      </c>
      <c r="D286" t="s">
        <v>76</v>
      </c>
      <c r="E286" s="1">
        <v>1</v>
      </c>
      <c r="F286" s="1">
        <f>VLOOKUP(C286,m_indikator!$A$2:$F$30,5,TRUE)</f>
        <v>100</v>
      </c>
      <c r="G286" s="15">
        <v>100</v>
      </c>
      <c r="H286" s="1">
        <f>VLOOKUP(C286,m_indikator!$A$2:$F$30,6,TRUE)</f>
        <v>4</v>
      </c>
      <c r="I286" s="15">
        <f t="shared" si="8"/>
        <v>4</v>
      </c>
      <c r="J286" t="str">
        <f t="shared" si="9"/>
        <v>update evaluasi set tahun = 1, nilai_maks = 100, nilai_input=100, bobot = 4, nilai_akhir = 4, id_indikator = 'C020250223' where id_evaluasi = '20250009_C020250503';</v>
      </c>
      <c r="P286" s="12"/>
      <c r="Q286" s="12"/>
    </row>
    <row r="287" spans="1:17" hidden="1" x14ac:dyDescent="0.35">
      <c r="A287" t="s">
        <v>381</v>
      </c>
      <c r="B287" t="s">
        <v>374</v>
      </c>
      <c r="C287" t="s">
        <v>75</v>
      </c>
      <c r="D287" t="s">
        <v>76</v>
      </c>
      <c r="E287" s="1">
        <v>1</v>
      </c>
      <c r="F287" s="1">
        <f>VLOOKUP(C287,m_indikator!$A$2:$F$30,5,TRUE)</f>
        <v>100</v>
      </c>
      <c r="G287" s="15">
        <v>100</v>
      </c>
      <c r="H287" s="1">
        <f>VLOOKUP(C287,m_indikator!$A$2:$F$30,6,TRUE)</f>
        <v>4</v>
      </c>
      <c r="I287" s="15">
        <f t="shared" si="8"/>
        <v>4</v>
      </c>
      <c r="J287" t="str">
        <f t="shared" si="9"/>
        <v>update evaluasi set tahun = 1, nilai_maks = 100, nilai_input=100, bobot = 4, nilai_akhir = 4, id_indikator = 'C020250223' where id_evaluasi = '20250010_C020250503';</v>
      </c>
      <c r="P287" s="12"/>
      <c r="Q287" s="12"/>
    </row>
    <row r="288" spans="1:17" hidden="1" x14ac:dyDescent="0.35">
      <c r="A288" t="s">
        <v>382</v>
      </c>
      <c r="B288" t="s">
        <v>374</v>
      </c>
      <c r="C288" t="s">
        <v>75</v>
      </c>
      <c r="D288" t="s">
        <v>76</v>
      </c>
      <c r="E288" s="1">
        <v>1</v>
      </c>
      <c r="F288" s="1">
        <f>VLOOKUP(C288,m_indikator!$A$2:$F$30,5,TRUE)</f>
        <v>100</v>
      </c>
      <c r="G288" s="15">
        <v>100</v>
      </c>
      <c r="H288" s="1">
        <f>VLOOKUP(C288,m_indikator!$A$2:$F$30,6,TRUE)</f>
        <v>4</v>
      </c>
      <c r="I288" s="15">
        <f t="shared" si="8"/>
        <v>4</v>
      </c>
      <c r="J288" t="str">
        <f t="shared" si="9"/>
        <v>update evaluasi set tahun = 1, nilai_maks = 100, nilai_input=100, bobot = 4, nilai_akhir = 4, id_indikator = 'C020250223' where id_evaluasi = '20250011_C020250503';</v>
      </c>
      <c r="P288" s="12"/>
      <c r="Q288" s="12"/>
    </row>
    <row r="289" spans="1:17" hidden="1" x14ac:dyDescent="0.35">
      <c r="A289" t="s">
        <v>383</v>
      </c>
      <c r="B289" t="s">
        <v>374</v>
      </c>
      <c r="C289" t="s">
        <v>75</v>
      </c>
      <c r="D289" t="s">
        <v>76</v>
      </c>
      <c r="E289" s="1">
        <v>1</v>
      </c>
      <c r="F289" s="1">
        <f>VLOOKUP(C289,m_indikator!$A$2:$F$30,5,TRUE)</f>
        <v>100</v>
      </c>
      <c r="G289" s="15">
        <v>100</v>
      </c>
      <c r="H289" s="1">
        <f>VLOOKUP(C289,m_indikator!$A$2:$F$30,6,TRUE)</f>
        <v>4</v>
      </c>
      <c r="I289" s="15">
        <f t="shared" si="8"/>
        <v>4</v>
      </c>
      <c r="J289" t="str">
        <f t="shared" si="9"/>
        <v>update evaluasi set tahun = 1, nilai_maks = 100, nilai_input=100, bobot = 4, nilai_akhir = 4, id_indikator = 'C020250223' where id_evaluasi = '20250012_C020250503';</v>
      </c>
      <c r="P289" s="12"/>
      <c r="Q289" s="12"/>
    </row>
    <row r="290" spans="1:17" hidden="1" x14ac:dyDescent="0.35">
      <c r="A290" t="s">
        <v>384</v>
      </c>
      <c r="B290" t="s">
        <v>374</v>
      </c>
      <c r="C290" t="s">
        <v>75</v>
      </c>
      <c r="D290" t="s">
        <v>76</v>
      </c>
      <c r="E290" s="1">
        <v>1</v>
      </c>
      <c r="F290" s="1">
        <f>VLOOKUP(C290,m_indikator!$A$2:$F$30,5,TRUE)</f>
        <v>100</v>
      </c>
      <c r="G290" s="15">
        <v>100</v>
      </c>
      <c r="H290" s="1">
        <f>VLOOKUP(C290,m_indikator!$A$2:$F$30,6,TRUE)</f>
        <v>4</v>
      </c>
      <c r="I290" s="15">
        <f t="shared" si="8"/>
        <v>4</v>
      </c>
      <c r="J290" t="str">
        <f t="shared" si="9"/>
        <v>update evaluasi set tahun = 1, nilai_maks = 100, nilai_input=100, bobot = 4, nilai_akhir = 4, id_indikator = 'C020250223' where id_evaluasi = '20250013_C020250503';</v>
      </c>
      <c r="P290" s="12"/>
      <c r="Q290" s="12"/>
    </row>
    <row r="291" spans="1:17" hidden="1" x14ac:dyDescent="0.35">
      <c r="A291" t="s">
        <v>385</v>
      </c>
      <c r="B291" t="s">
        <v>374</v>
      </c>
      <c r="C291" t="s">
        <v>75</v>
      </c>
      <c r="D291" t="s">
        <v>76</v>
      </c>
      <c r="E291" s="1">
        <v>1</v>
      </c>
      <c r="F291" s="1">
        <f>VLOOKUP(C291,m_indikator!$A$2:$F$30,5,TRUE)</f>
        <v>100</v>
      </c>
      <c r="G291" s="15">
        <v>100</v>
      </c>
      <c r="H291" s="1">
        <f>VLOOKUP(C291,m_indikator!$A$2:$F$30,6,TRUE)</f>
        <v>4</v>
      </c>
      <c r="I291" s="15">
        <f t="shared" si="8"/>
        <v>4</v>
      </c>
      <c r="J291" t="str">
        <f t="shared" si="9"/>
        <v>update evaluasi set tahun = 1, nilai_maks = 100, nilai_input=100, bobot = 4, nilai_akhir = 4, id_indikator = 'C020250223' where id_evaluasi = '20250014_C020250503';</v>
      </c>
      <c r="P291" s="12"/>
      <c r="Q291" s="12"/>
    </row>
    <row r="292" spans="1:17" hidden="1" x14ac:dyDescent="0.35">
      <c r="A292" t="s">
        <v>386</v>
      </c>
      <c r="B292" t="s">
        <v>374</v>
      </c>
      <c r="C292" t="s">
        <v>75</v>
      </c>
      <c r="D292" t="s">
        <v>76</v>
      </c>
      <c r="E292" s="1">
        <v>1</v>
      </c>
      <c r="F292" s="1">
        <f>VLOOKUP(C292,m_indikator!$A$2:$F$30,5,TRUE)</f>
        <v>100</v>
      </c>
      <c r="G292" s="15">
        <v>94</v>
      </c>
      <c r="H292" s="1">
        <f>VLOOKUP(C292,m_indikator!$A$2:$F$30,6,TRUE)</f>
        <v>4</v>
      </c>
      <c r="I292" s="15">
        <f t="shared" si="8"/>
        <v>3.76</v>
      </c>
      <c r="J292" t="str">
        <f t="shared" si="9"/>
        <v>update evaluasi set tahun = 1, nilai_maks = 100, nilai_input=94, bobot = 4, nilai_akhir = 3.76, id_indikator = 'C020250223' where id_evaluasi = '20250015_C020250503';</v>
      </c>
      <c r="P292" s="12"/>
      <c r="Q292" s="12"/>
    </row>
    <row r="293" spans="1:17" hidden="1" x14ac:dyDescent="0.35">
      <c r="A293" t="s">
        <v>387</v>
      </c>
      <c r="B293" t="s">
        <v>374</v>
      </c>
      <c r="C293" t="s">
        <v>75</v>
      </c>
      <c r="D293" t="s">
        <v>76</v>
      </c>
      <c r="E293" s="1">
        <v>1</v>
      </c>
      <c r="F293" s="1">
        <f>VLOOKUP(C293,m_indikator!$A$2:$F$30,5,TRUE)</f>
        <v>100</v>
      </c>
      <c r="G293" s="15">
        <v>92</v>
      </c>
      <c r="H293" s="1">
        <f>VLOOKUP(C293,m_indikator!$A$2:$F$30,6,TRUE)</f>
        <v>4</v>
      </c>
      <c r="I293" s="15">
        <f t="shared" si="8"/>
        <v>3.68</v>
      </c>
      <c r="J293" t="str">
        <f t="shared" si="9"/>
        <v>update evaluasi set tahun = 1, nilai_maks = 100, nilai_input=92, bobot = 4, nilai_akhir = 3.68, id_indikator = 'C020250223' where id_evaluasi = '20250016_C020250503';</v>
      </c>
      <c r="P293" s="12"/>
      <c r="Q293" s="12"/>
    </row>
    <row r="294" spans="1:17" hidden="1" x14ac:dyDescent="0.35">
      <c r="A294" t="s">
        <v>388</v>
      </c>
      <c r="B294" t="s">
        <v>374</v>
      </c>
      <c r="C294" t="s">
        <v>75</v>
      </c>
      <c r="D294" t="s">
        <v>76</v>
      </c>
      <c r="E294" s="1">
        <v>1</v>
      </c>
      <c r="F294" s="1">
        <f>VLOOKUP(C294,m_indikator!$A$2:$F$30,5,TRUE)</f>
        <v>100</v>
      </c>
      <c r="G294" s="15">
        <v>96</v>
      </c>
      <c r="H294" s="1">
        <f>VLOOKUP(C294,m_indikator!$A$2:$F$30,6,TRUE)</f>
        <v>4</v>
      </c>
      <c r="I294" s="15">
        <f t="shared" si="8"/>
        <v>3.84</v>
      </c>
      <c r="J294" t="str">
        <f t="shared" si="9"/>
        <v>update evaluasi set tahun = 1, nilai_maks = 100, nilai_input=96, bobot = 4, nilai_akhir = 3.84, id_indikator = 'C020250223' where id_evaluasi = '20250017_C020250503';</v>
      </c>
      <c r="P294" s="12"/>
      <c r="Q294" s="12"/>
    </row>
    <row r="295" spans="1:17" hidden="1" x14ac:dyDescent="0.35">
      <c r="A295" t="s">
        <v>389</v>
      </c>
      <c r="B295" t="s">
        <v>374</v>
      </c>
      <c r="C295" t="s">
        <v>75</v>
      </c>
      <c r="D295" t="s">
        <v>76</v>
      </c>
      <c r="E295" s="1">
        <v>1</v>
      </c>
      <c r="F295" s="1">
        <f>VLOOKUP(C295,m_indikator!$A$2:$F$30,5,TRUE)</f>
        <v>100</v>
      </c>
      <c r="G295" s="15">
        <v>91</v>
      </c>
      <c r="H295" s="1">
        <f>VLOOKUP(C295,m_indikator!$A$2:$F$30,6,TRUE)</f>
        <v>4</v>
      </c>
      <c r="I295" s="15">
        <f t="shared" si="8"/>
        <v>3.64</v>
      </c>
      <c r="J295" t="str">
        <f t="shared" si="9"/>
        <v>update evaluasi set tahun = 1, nilai_maks = 100, nilai_input=91, bobot = 4, nilai_akhir = 3.64, id_indikator = 'C020250223' where id_evaluasi = '20250018_C020250503';</v>
      </c>
      <c r="P295" s="12"/>
      <c r="Q295" s="12"/>
    </row>
    <row r="296" spans="1:17" hidden="1" x14ac:dyDescent="0.35">
      <c r="A296" t="s">
        <v>390</v>
      </c>
      <c r="B296" t="s">
        <v>374</v>
      </c>
      <c r="C296" t="s">
        <v>75</v>
      </c>
      <c r="D296" t="s">
        <v>76</v>
      </c>
      <c r="E296" s="1">
        <v>1</v>
      </c>
      <c r="F296" s="1">
        <f>VLOOKUP(C296,m_indikator!$A$2:$F$30,5,TRUE)</f>
        <v>100</v>
      </c>
      <c r="G296" s="15">
        <v>88</v>
      </c>
      <c r="H296" s="1">
        <f>VLOOKUP(C296,m_indikator!$A$2:$F$30,6,TRUE)</f>
        <v>4</v>
      </c>
      <c r="I296" s="15">
        <f t="shared" si="8"/>
        <v>3.52</v>
      </c>
      <c r="J296" t="str">
        <f t="shared" si="9"/>
        <v>update evaluasi set tahun = 1, nilai_maks = 100, nilai_input=88, bobot = 4, nilai_akhir = 3.52, id_indikator = 'C020250223' where id_evaluasi = '20250019_C020250503';</v>
      </c>
      <c r="P296" s="12"/>
      <c r="Q296" s="12"/>
    </row>
    <row r="297" spans="1:17" hidden="1" x14ac:dyDescent="0.35">
      <c r="A297" t="s">
        <v>391</v>
      </c>
      <c r="B297" t="s">
        <v>374</v>
      </c>
      <c r="C297" t="s">
        <v>75</v>
      </c>
      <c r="D297" t="s">
        <v>76</v>
      </c>
      <c r="E297" s="1">
        <v>1</v>
      </c>
      <c r="F297" s="1">
        <f>VLOOKUP(C297,m_indikator!$A$2:$F$30,5,TRUE)</f>
        <v>100</v>
      </c>
      <c r="G297" s="15">
        <v>90</v>
      </c>
      <c r="H297" s="1">
        <f>VLOOKUP(C297,m_indikator!$A$2:$F$30,6,TRUE)</f>
        <v>4</v>
      </c>
      <c r="I297" s="15">
        <f t="shared" si="8"/>
        <v>3.6</v>
      </c>
      <c r="J297" t="str">
        <f t="shared" si="9"/>
        <v>update evaluasi set tahun = 1, nilai_maks = 100, nilai_input=90, bobot = 4, nilai_akhir = 3.6, id_indikator = 'C020250223' where id_evaluasi = '20250020_C020250503';</v>
      </c>
      <c r="P297" s="12"/>
      <c r="Q297" s="12"/>
    </row>
    <row r="298" spans="1:17" hidden="1" x14ac:dyDescent="0.35">
      <c r="A298" t="s">
        <v>392</v>
      </c>
      <c r="B298" t="s">
        <v>374</v>
      </c>
      <c r="C298" t="s">
        <v>75</v>
      </c>
      <c r="D298" t="s">
        <v>76</v>
      </c>
      <c r="E298" s="1">
        <v>1</v>
      </c>
      <c r="F298" s="1">
        <f>VLOOKUP(C298,m_indikator!$A$2:$F$30,5,TRUE)</f>
        <v>100</v>
      </c>
      <c r="G298" s="15">
        <v>90</v>
      </c>
      <c r="H298" s="1">
        <f>VLOOKUP(C298,m_indikator!$A$2:$F$30,6,TRUE)</f>
        <v>4</v>
      </c>
      <c r="I298" s="15">
        <f t="shared" si="8"/>
        <v>3.6</v>
      </c>
      <c r="J298" t="str">
        <f t="shared" si="9"/>
        <v>update evaluasi set tahun = 1, nilai_maks = 100, nilai_input=90, bobot = 4, nilai_akhir = 3.6, id_indikator = 'C020250223' where id_evaluasi = '20250022_C020250503';</v>
      </c>
      <c r="P298" s="12"/>
      <c r="Q298" s="12"/>
    </row>
    <row r="299" spans="1:17" hidden="1" x14ac:dyDescent="0.35">
      <c r="A299" t="s">
        <v>393</v>
      </c>
      <c r="B299" t="s">
        <v>374</v>
      </c>
      <c r="C299" t="s">
        <v>75</v>
      </c>
      <c r="D299" t="s">
        <v>76</v>
      </c>
      <c r="E299" s="1">
        <v>1</v>
      </c>
      <c r="F299" s="1">
        <f>VLOOKUP(C299,m_indikator!$A$2:$F$30,5,TRUE)</f>
        <v>100</v>
      </c>
      <c r="G299" s="15">
        <v>94</v>
      </c>
      <c r="H299" s="1">
        <f>VLOOKUP(C299,m_indikator!$A$2:$F$30,6,TRUE)</f>
        <v>4</v>
      </c>
      <c r="I299" s="15">
        <f t="shared" si="8"/>
        <v>3.76</v>
      </c>
      <c r="J299" t="str">
        <f t="shared" si="9"/>
        <v>update evaluasi set tahun = 1, nilai_maks = 100, nilai_input=94, bobot = 4, nilai_akhir = 3.76, id_indikator = 'C020250223' where id_evaluasi = '20250023_C020250503';</v>
      </c>
      <c r="P299" s="12"/>
      <c r="Q299" s="12"/>
    </row>
    <row r="300" spans="1:17" hidden="1" x14ac:dyDescent="0.35">
      <c r="A300" t="s">
        <v>394</v>
      </c>
      <c r="B300" t="s">
        <v>374</v>
      </c>
      <c r="C300" t="s">
        <v>75</v>
      </c>
      <c r="D300" t="s">
        <v>76</v>
      </c>
      <c r="E300" s="1">
        <v>1</v>
      </c>
      <c r="F300" s="1">
        <f>VLOOKUP(C300,m_indikator!$A$2:$F$30,5,TRUE)</f>
        <v>100</v>
      </c>
      <c r="G300" s="15">
        <v>80</v>
      </c>
      <c r="H300" s="1">
        <f>VLOOKUP(C300,m_indikator!$A$2:$F$30,6,TRUE)</f>
        <v>4</v>
      </c>
      <c r="I300" s="15">
        <f t="shared" si="8"/>
        <v>3.2</v>
      </c>
      <c r="J300" t="str">
        <f t="shared" si="9"/>
        <v>update evaluasi set tahun = 1, nilai_maks = 100, nilai_input=80, bobot = 4, nilai_akhir = 3.2, id_indikator = 'C020250223' where id_evaluasi = '20250024_C020250503';</v>
      </c>
      <c r="P300" s="12"/>
      <c r="Q300" s="12"/>
    </row>
    <row r="301" spans="1:17" hidden="1" x14ac:dyDescent="0.35">
      <c r="A301" t="s">
        <v>395</v>
      </c>
      <c r="B301" t="s">
        <v>374</v>
      </c>
      <c r="C301" t="s">
        <v>75</v>
      </c>
      <c r="D301" t="s">
        <v>76</v>
      </c>
      <c r="E301" s="1">
        <v>1</v>
      </c>
      <c r="F301" s="1">
        <f>VLOOKUP(C301,m_indikator!$A$2:$F$30,5,TRUE)</f>
        <v>100</v>
      </c>
      <c r="G301" s="15">
        <v>82</v>
      </c>
      <c r="H301" s="1">
        <f>VLOOKUP(C301,m_indikator!$A$2:$F$30,6,TRUE)</f>
        <v>4</v>
      </c>
      <c r="I301" s="15">
        <f t="shared" si="8"/>
        <v>3.28</v>
      </c>
      <c r="J301" t="str">
        <f t="shared" si="9"/>
        <v>update evaluasi set tahun = 1, nilai_maks = 100, nilai_input=82, bobot = 4, nilai_akhir = 3.28, id_indikator = 'C020250223' where id_evaluasi = '20250025_C020250503';</v>
      </c>
      <c r="P301" s="12"/>
      <c r="Q301" s="12"/>
    </row>
    <row r="302" spans="1:17" hidden="1" x14ac:dyDescent="0.35">
      <c r="A302" t="s">
        <v>396</v>
      </c>
      <c r="B302" t="s">
        <v>374</v>
      </c>
      <c r="C302" t="s">
        <v>75</v>
      </c>
      <c r="D302" t="s">
        <v>76</v>
      </c>
      <c r="E302" s="1">
        <v>1</v>
      </c>
      <c r="F302" s="1">
        <f>VLOOKUP(C302,m_indikator!$A$2:$F$30,5,TRUE)</f>
        <v>100</v>
      </c>
      <c r="G302" s="15">
        <v>95</v>
      </c>
      <c r="H302" s="1">
        <f>VLOOKUP(C302,m_indikator!$A$2:$F$30,6,TRUE)</f>
        <v>4</v>
      </c>
      <c r="I302" s="15">
        <f t="shared" si="8"/>
        <v>3.8</v>
      </c>
      <c r="J302" t="str">
        <f t="shared" si="9"/>
        <v>update evaluasi set tahun = 1, nilai_maks = 100, nilai_input=95, bobot = 4, nilai_akhir = 3.8, id_indikator = 'C020250223' where id_evaluasi = '20250026_C020250503';</v>
      </c>
      <c r="P302" s="12"/>
      <c r="Q302" s="12"/>
    </row>
    <row r="303" spans="1:17" hidden="1" x14ac:dyDescent="0.35">
      <c r="A303" t="s">
        <v>397</v>
      </c>
      <c r="B303" t="s">
        <v>374</v>
      </c>
      <c r="C303" t="s">
        <v>75</v>
      </c>
      <c r="D303" t="s">
        <v>76</v>
      </c>
      <c r="E303" s="1">
        <v>1</v>
      </c>
      <c r="F303" s="1">
        <f>VLOOKUP(C303,m_indikator!$A$2:$F$30,5,TRUE)</f>
        <v>100</v>
      </c>
      <c r="G303" s="15">
        <v>97</v>
      </c>
      <c r="H303" s="1">
        <f>VLOOKUP(C303,m_indikator!$A$2:$F$30,6,TRUE)</f>
        <v>4</v>
      </c>
      <c r="I303" s="15">
        <f t="shared" si="8"/>
        <v>3.88</v>
      </c>
      <c r="J303" t="str">
        <f t="shared" si="9"/>
        <v>update evaluasi set tahun = 1, nilai_maks = 100, nilai_input=97, bobot = 4, nilai_akhir = 3.88, id_indikator = 'C020250223' where id_evaluasi = '20250028_C020250503';</v>
      </c>
      <c r="P303" s="12"/>
      <c r="Q303" s="12"/>
    </row>
    <row r="304" spans="1:17" hidden="1" x14ac:dyDescent="0.35">
      <c r="A304" t="s">
        <v>398</v>
      </c>
      <c r="B304" t="s">
        <v>374</v>
      </c>
      <c r="C304" t="s">
        <v>75</v>
      </c>
      <c r="D304" t="s">
        <v>76</v>
      </c>
      <c r="E304" s="1">
        <v>1</v>
      </c>
      <c r="F304" s="1">
        <f>VLOOKUP(C304,m_indikator!$A$2:$F$30,5,TRUE)</f>
        <v>100</v>
      </c>
      <c r="G304" s="15">
        <v>94</v>
      </c>
      <c r="H304" s="1">
        <f>VLOOKUP(C304,m_indikator!$A$2:$F$30,6,TRUE)</f>
        <v>4</v>
      </c>
      <c r="I304" s="15">
        <f t="shared" si="8"/>
        <v>3.76</v>
      </c>
      <c r="J304" t="str">
        <f t="shared" si="9"/>
        <v>update evaluasi set tahun = 1, nilai_maks = 100, nilai_input=94, bobot = 4, nilai_akhir = 3.76, id_indikator = 'C020250223' where id_evaluasi = '20250029_C020250503';</v>
      </c>
      <c r="P304" s="12"/>
      <c r="Q304" s="12"/>
    </row>
    <row r="305" spans="1:17" hidden="1" x14ac:dyDescent="0.35">
      <c r="A305" t="s">
        <v>399</v>
      </c>
      <c r="B305" t="s">
        <v>374</v>
      </c>
      <c r="C305" t="s">
        <v>75</v>
      </c>
      <c r="D305" t="s">
        <v>76</v>
      </c>
      <c r="E305" s="1">
        <v>1</v>
      </c>
      <c r="F305" s="1">
        <f>VLOOKUP(C305,m_indikator!$A$2:$F$30,5,TRUE)</f>
        <v>100</v>
      </c>
      <c r="G305" s="15">
        <v>68</v>
      </c>
      <c r="H305" s="1">
        <f>VLOOKUP(C305,m_indikator!$A$2:$F$30,6,TRUE)</f>
        <v>4</v>
      </c>
      <c r="I305" s="15">
        <f t="shared" si="8"/>
        <v>2.72</v>
      </c>
      <c r="J305" t="str">
        <f t="shared" si="9"/>
        <v>update evaluasi set tahun = 1, nilai_maks = 100, nilai_input=68, bobot = 4, nilai_akhir = 2.72, id_indikator = 'C020250223' where id_evaluasi = '20250030_C020250503';</v>
      </c>
      <c r="P305" s="12"/>
      <c r="Q305" s="12"/>
    </row>
    <row r="306" spans="1:17" hidden="1" x14ac:dyDescent="0.35">
      <c r="A306" t="s">
        <v>400</v>
      </c>
      <c r="B306" t="s">
        <v>374</v>
      </c>
      <c r="C306" t="s">
        <v>75</v>
      </c>
      <c r="D306" t="s">
        <v>76</v>
      </c>
      <c r="E306" s="1">
        <v>1</v>
      </c>
      <c r="F306" s="1">
        <f>VLOOKUP(C306,m_indikator!$A$2:$F$30,5,TRUE)</f>
        <v>100</v>
      </c>
      <c r="G306" s="15">
        <v>67</v>
      </c>
      <c r="H306" s="1">
        <f>VLOOKUP(C306,m_indikator!$A$2:$F$30,6,TRUE)</f>
        <v>4</v>
      </c>
      <c r="I306" s="15">
        <f t="shared" si="8"/>
        <v>2.68</v>
      </c>
      <c r="J306" t="str">
        <f t="shared" si="9"/>
        <v>update evaluasi set tahun = 1, nilai_maks = 100, nilai_input=67, bobot = 4, nilai_akhir = 2.68, id_indikator = 'C020250223' where id_evaluasi = '20250031_C020250503';</v>
      </c>
      <c r="P306" s="12"/>
      <c r="Q306" s="12"/>
    </row>
    <row r="307" spans="1:17" hidden="1" x14ac:dyDescent="0.35">
      <c r="A307" t="s">
        <v>401</v>
      </c>
      <c r="B307" t="s">
        <v>374</v>
      </c>
      <c r="C307" t="s">
        <v>75</v>
      </c>
      <c r="D307" t="s">
        <v>76</v>
      </c>
      <c r="E307" s="1">
        <v>1</v>
      </c>
      <c r="F307" s="1">
        <f>VLOOKUP(C307,m_indikator!$A$2:$F$30,5,TRUE)</f>
        <v>100</v>
      </c>
      <c r="G307" s="15">
        <v>86</v>
      </c>
      <c r="H307" s="1">
        <f>VLOOKUP(C307,m_indikator!$A$2:$F$30,6,TRUE)</f>
        <v>4</v>
      </c>
      <c r="I307" s="15">
        <f t="shared" si="8"/>
        <v>3.44</v>
      </c>
      <c r="J307" t="str">
        <f t="shared" si="9"/>
        <v>update evaluasi set tahun = 1, nilai_maks = 100, nilai_input=86, bobot = 4, nilai_akhir = 3.44, id_indikator = 'C020250223' where id_evaluasi = '20250032_C020250503';</v>
      </c>
      <c r="P307" s="12"/>
      <c r="Q307" s="12"/>
    </row>
    <row r="308" spans="1:17" hidden="1" x14ac:dyDescent="0.35">
      <c r="A308" t="s">
        <v>402</v>
      </c>
      <c r="B308" t="s">
        <v>374</v>
      </c>
      <c r="C308" t="s">
        <v>75</v>
      </c>
      <c r="D308" t="s">
        <v>76</v>
      </c>
      <c r="E308" s="1">
        <v>1</v>
      </c>
      <c r="F308" s="1">
        <f>VLOOKUP(C308,m_indikator!$A$2:$F$30,5,TRUE)</f>
        <v>100</v>
      </c>
      <c r="G308" s="15">
        <v>100</v>
      </c>
      <c r="H308" s="1">
        <f>VLOOKUP(C308,m_indikator!$A$2:$F$30,6,TRUE)</f>
        <v>4</v>
      </c>
      <c r="I308" s="15">
        <f t="shared" si="8"/>
        <v>4</v>
      </c>
      <c r="J308" t="str">
        <f t="shared" si="9"/>
        <v>update evaluasi set tahun = 1, nilai_maks = 100, nilai_input=100, bobot = 4, nilai_akhir = 4, id_indikator = 'C020250223' where id_evaluasi = '20250034_C020250503';</v>
      </c>
      <c r="P308" s="12"/>
      <c r="Q308" s="12"/>
    </row>
    <row r="309" spans="1:17" hidden="1" x14ac:dyDescent="0.35">
      <c r="A309" t="s">
        <v>403</v>
      </c>
      <c r="B309" t="s">
        <v>374</v>
      </c>
      <c r="C309" t="s">
        <v>75</v>
      </c>
      <c r="D309" t="s">
        <v>76</v>
      </c>
      <c r="E309" s="1">
        <v>1</v>
      </c>
      <c r="F309" s="1">
        <f>VLOOKUP(C309,m_indikator!$A$2:$F$30,5,TRUE)</f>
        <v>100</v>
      </c>
      <c r="G309" s="15">
        <v>78</v>
      </c>
      <c r="H309" s="1">
        <f>VLOOKUP(C309,m_indikator!$A$2:$F$30,6,TRUE)</f>
        <v>4</v>
      </c>
      <c r="I309" s="15">
        <f t="shared" si="8"/>
        <v>3.12</v>
      </c>
      <c r="J309" t="str">
        <f t="shared" si="9"/>
        <v>update evaluasi set tahun = 1, nilai_maks = 100, nilai_input=78, bobot = 4, nilai_akhir = 3.12, id_indikator = 'C020250223' where id_evaluasi = '20250035_C020250503';</v>
      </c>
      <c r="P309" s="12"/>
      <c r="Q309" s="12"/>
    </row>
    <row r="310" spans="1:17" hidden="1" x14ac:dyDescent="0.35">
      <c r="A310" t="s">
        <v>404</v>
      </c>
      <c r="B310" t="s">
        <v>374</v>
      </c>
      <c r="C310" t="s">
        <v>75</v>
      </c>
      <c r="D310" t="s">
        <v>76</v>
      </c>
      <c r="E310" s="1">
        <v>1</v>
      </c>
      <c r="F310" s="1">
        <f>VLOOKUP(C310,m_indikator!$A$2:$F$30,5,TRUE)</f>
        <v>100</v>
      </c>
      <c r="G310" s="15">
        <v>83</v>
      </c>
      <c r="H310" s="1">
        <f>VLOOKUP(C310,m_indikator!$A$2:$F$30,6,TRUE)</f>
        <v>4</v>
      </c>
      <c r="I310" s="15">
        <f t="shared" si="8"/>
        <v>3.32</v>
      </c>
      <c r="J310" t="str">
        <f t="shared" si="9"/>
        <v>update evaluasi set tahun = 1, nilai_maks = 100, nilai_input=83, bobot = 4, nilai_akhir = 3.32, id_indikator = 'C020250223' where id_evaluasi = '20250036_C020250503';</v>
      </c>
      <c r="P310" s="12"/>
      <c r="Q310" s="12"/>
    </row>
    <row r="311" spans="1:17" hidden="1" x14ac:dyDescent="0.35">
      <c r="A311" t="s">
        <v>405</v>
      </c>
      <c r="B311" t="s">
        <v>374</v>
      </c>
      <c r="C311" t="s">
        <v>75</v>
      </c>
      <c r="D311" t="s">
        <v>76</v>
      </c>
      <c r="E311" s="1">
        <v>1</v>
      </c>
      <c r="F311" s="1">
        <f>VLOOKUP(C311,m_indikator!$A$2:$F$30,5,TRUE)</f>
        <v>100</v>
      </c>
      <c r="G311" s="15">
        <v>93</v>
      </c>
      <c r="H311" s="1">
        <f>VLOOKUP(C311,m_indikator!$A$2:$F$30,6,TRUE)</f>
        <v>4</v>
      </c>
      <c r="I311" s="15">
        <f t="shared" si="8"/>
        <v>3.72</v>
      </c>
      <c r="J311" t="str">
        <f t="shared" si="9"/>
        <v>update evaluasi set tahun = 1, nilai_maks = 100, nilai_input=93, bobot = 4, nilai_akhir = 3.72, id_indikator = 'C020250223' where id_evaluasi = '20250037_C020250503';</v>
      </c>
      <c r="P311" s="12"/>
      <c r="Q311" s="12"/>
    </row>
    <row r="312" spans="1:17" hidden="1" x14ac:dyDescent="0.35">
      <c r="A312" t="s">
        <v>406</v>
      </c>
      <c r="B312" t="s">
        <v>374</v>
      </c>
      <c r="C312" t="s">
        <v>75</v>
      </c>
      <c r="D312" t="s">
        <v>76</v>
      </c>
      <c r="E312" s="1">
        <v>1</v>
      </c>
      <c r="F312" s="1">
        <f>VLOOKUP(C312,m_indikator!$A$2:$F$30,5,TRUE)</f>
        <v>100</v>
      </c>
      <c r="G312" s="15">
        <v>100</v>
      </c>
      <c r="H312" s="1">
        <f>VLOOKUP(C312,m_indikator!$A$2:$F$30,6,TRUE)</f>
        <v>4</v>
      </c>
      <c r="I312" s="15">
        <f t="shared" si="8"/>
        <v>4</v>
      </c>
      <c r="J312" t="str">
        <f t="shared" si="9"/>
        <v>update evaluasi set tahun = 1, nilai_maks = 100, nilai_input=100, bobot = 4, nilai_akhir = 4, id_indikator = 'C020250223' where id_evaluasi = '20250038_C020250503';</v>
      </c>
      <c r="P312" s="12"/>
      <c r="Q312" s="12"/>
    </row>
    <row r="313" spans="1:17" hidden="1" x14ac:dyDescent="0.35">
      <c r="A313" t="s">
        <v>407</v>
      </c>
      <c r="B313" t="s">
        <v>374</v>
      </c>
      <c r="C313" t="s">
        <v>75</v>
      </c>
      <c r="D313" t="s">
        <v>76</v>
      </c>
      <c r="E313" s="1">
        <v>1</v>
      </c>
      <c r="F313" s="1">
        <f>VLOOKUP(C313,m_indikator!$A$2:$F$30,5,TRUE)</f>
        <v>100</v>
      </c>
      <c r="G313" s="15">
        <v>100</v>
      </c>
      <c r="H313" s="1">
        <f>VLOOKUP(C313,m_indikator!$A$2:$F$30,6,TRUE)</f>
        <v>4</v>
      </c>
      <c r="I313" s="15">
        <f t="shared" si="8"/>
        <v>4</v>
      </c>
      <c r="J313" t="str">
        <f t="shared" si="9"/>
        <v>update evaluasi set tahun = 1, nilai_maks = 100, nilai_input=100, bobot = 4, nilai_akhir = 4, id_indikator = 'C020250223' where id_evaluasi = '20250039_C020250503';</v>
      </c>
      <c r="P313" s="12"/>
      <c r="Q313" s="12"/>
    </row>
    <row r="314" spans="1:17" hidden="1" x14ac:dyDescent="0.35">
      <c r="A314" t="s">
        <v>408</v>
      </c>
      <c r="B314" t="s">
        <v>374</v>
      </c>
      <c r="C314" t="s">
        <v>75</v>
      </c>
      <c r="D314" t="s">
        <v>76</v>
      </c>
      <c r="E314" s="1">
        <v>1</v>
      </c>
      <c r="F314" s="1">
        <f>VLOOKUP(C314,m_indikator!$A$2:$F$30,5,TRUE)</f>
        <v>100</v>
      </c>
      <c r="G314" s="15">
        <v>94</v>
      </c>
      <c r="H314" s="1">
        <f>VLOOKUP(C314,m_indikator!$A$2:$F$30,6,TRUE)</f>
        <v>4</v>
      </c>
      <c r="I314" s="15">
        <f t="shared" si="8"/>
        <v>3.76</v>
      </c>
      <c r="J314" t="str">
        <f t="shared" si="9"/>
        <v>update evaluasi set tahun = 1, nilai_maks = 100, nilai_input=94, bobot = 4, nilai_akhir = 3.76, id_indikator = 'C020250223' where id_evaluasi = '20250040_C020250503';</v>
      </c>
      <c r="P314" s="12"/>
      <c r="Q314" s="12"/>
    </row>
    <row r="315" spans="1:17" hidden="1" x14ac:dyDescent="0.35">
      <c r="A315" t="s">
        <v>409</v>
      </c>
      <c r="B315" t="s">
        <v>374</v>
      </c>
      <c r="C315" t="s">
        <v>75</v>
      </c>
      <c r="D315" t="s">
        <v>76</v>
      </c>
      <c r="E315" s="1">
        <v>1</v>
      </c>
      <c r="F315" s="1">
        <f>VLOOKUP(C315,m_indikator!$A$2:$F$30,5,TRUE)</f>
        <v>100</v>
      </c>
      <c r="G315" s="15">
        <v>91</v>
      </c>
      <c r="H315" s="1">
        <f>VLOOKUP(C315,m_indikator!$A$2:$F$30,6,TRUE)</f>
        <v>4</v>
      </c>
      <c r="I315" s="15">
        <f t="shared" si="8"/>
        <v>3.64</v>
      </c>
      <c r="J315" t="str">
        <f t="shared" si="9"/>
        <v>update evaluasi set tahun = 1, nilai_maks = 100, nilai_input=91, bobot = 4, nilai_akhir = 3.64, id_indikator = 'C020250223' where id_evaluasi = '20250041_C020250503';</v>
      </c>
      <c r="P315" s="12"/>
      <c r="Q315" s="12"/>
    </row>
    <row r="316" spans="1:17" hidden="1" x14ac:dyDescent="0.35">
      <c r="A316" t="s">
        <v>410</v>
      </c>
      <c r="B316" t="s">
        <v>374</v>
      </c>
      <c r="C316" t="s">
        <v>75</v>
      </c>
      <c r="D316" t="s">
        <v>76</v>
      </c>
      <c r="E316" s="1">
        <v>1</v>
      </c>
      <c r="F316" s="1">
        <f>VLOOKUP(C316,m_indikator!$A$2:$F$30,5,TRUE)</f>
        <v>100</v>
      </c>
      <c r="G316" s="15">
        <v>100</v>
      </c>
      <c r="H316" s="1">
        <f>VLOOKUP(C316,m_indikator!$A$2:$F$30,6,TRUE)</f>
        <v>4</v>
      </c>
      <c r="I316" s="15">
        <f t="shared" si="8"/>
        <v>4</v>
      </c>
      <c r="J316" t="str">
        <f t="shared" si="9"/>
        <v>update evaluasi set tahun = 1, nilai_maks = 100, nilai_input=100, bobot = 4, nilai_akhir = 4, id_indikator = 'C020250223' where id_evaluasi = '20250042_C020250503';</v>
      </c>
      <c r="P316" s="12"/>
      <c r="Q316" s="12"/>
    </row>
    <row r="317" spans="1:17" hidden="1" x14ac:dyDescent="0.35">
      <c r="A317" t="s">
        <v>411</v>
      </c>
      <c r="B317" t="s">
        <v>374</v>
      </c>
      <c r="C317" t="s">
        <v>75</v>
      </c>
      <c r="D317" t="s">
        <v>76</v>
      </c>
      <c r="E317" s="1">
        <v>1</v>
      </c>
      <c r="F317" s="1">
        <f>VLOOKUP(C317,m_indikator!$A$2:$F$30,5,TRUE)</f>
        <v>100</v>
      </c>
      <c r="G317" s="15">
        <v>100</v>
      </c>
      <c r="H317" s="1">
        <f>VLOOKUP(C317,m_indikator!$A$2:$F$30,6,TRUE)</f>
        <v>4</v>
      </c>
      <c r="I317" s="15">
        <f t="shared" si="8"/>
        <v>4</v>
      </c>
      <c r="J317" t="str">
        <f t="shared" si="9"/>
        <v>update evaluasi set tahun = 1, nilai_maks = 100, nilai_input=100, bobot = 4, nilai_akhir = 4, id_indikator = 'C020250223' where id_evaluasi = '20250043_C020250503';</v>
      </c>
      <c r="P317" s="12"/>
      <c r="Q317" s="12"/>
    </row>
    <row r="318" spans="1:17" hidden="1" x14ac:dyDescent="0.35">
      <c r="A318" t="s">
        <v>412</v>
      </c>
      <c r="B318" t="s">
        <v>374</v>
      </c>
      <c r="C318" t="s">
        <v>75</v>
      </c>
      <c r="D318" t="s">
        <v>76</v>
      </c>
      <c r="E318" s="1">
        <v>1</v>
      </c>
      <c r="F318" s="1">
        <f>VLOOKUP(C318,m_indikator!$A$2:$F$30,5,TRUE)</f>
        <v>100</v>
      </c>
      <c r="G318" s="15">
        <v>100</v>
      </c>
      <c r="H318" s="1">
        <f>VLOOKUP(C318,m_indikator!$A$2:$F$30,6,TRUE)</f>
        <v>4</v>
      </c>
      <c r="I318" s="15">
        <f t="shared" si="8"/>
        <v>4</v>
      </c>
      <c r="J318" t="str">
        <f t="shared" si="9"/>
        <v>update evaluasi set tahun = 1, nilai_maks = 100, nilai_input=100, bobot = 4, nilai_akhir = 4, id_indikator = 'C020250223' where id_evaluasi = '20250044_C020250503';</v>
      </c>
      <c r="P318" s="12"/>
      <c r="Q318" s="12"/>
    </row>
    <row r="319" spans="1:17" hidden="1" x14ac:dyDescent="0.35">
      <c r="A319" t="s">
        <v>413</v>
      </c>
      <c r="B319" t="s">
        <v>374</v>
      </c>
      <c r="C319" t="s">
        <v>75</v>
      </c>
      <c r="D319" t="s">
        <v>76</v>
      </c>
      <c r="E319" s="1">
        <v>1</v>
      </c>
      <c r="F319" s="1">
        <f>VLOOKUP(C319,m_indikator!$A$2:$F$30,5,TRUE)</f>
        <v>100</v>
      </c>
      <c r="G319" s="15">
        <v>94</v>
      </c>
      <c r="H319" s="1">
        <f>VLOOKUP(C319,m_indikator!$A$2:$F$30,6,TRUE)</f>
        <v>4</v>
      </c>
      <c r="I319" s="15">
        <f t="shared" si="8"/>
        <v>3.76</v>
      </c>
      <c r="J319" t="str">
        <f t="shared" si="9"/>
        <v>update evaluasi set tahun = 1, nilai_maks = 100, nilai_input=94, bobot = 4, nilai_akhir = 3.76, id_indikator = 'C020250223' where id_evaluasi = '20250045_C020250503';</v>
      </c>
      <c r="P319" s="12"/>
      <c r="Q319" s="12"/>
    </row>
    <row r="320" spans="1:17" hidden="1" x14ac:dyDescent="0.35">
      <c r="A320" t="s">
        <v>414</v>
      </c>
      <c r="B320" t="s">
        <v>374</v>
      </c>
      <c r="C320" t="s">
        <v>75</v>
      </c>
      <c r="D320" t="s">
        <v>76</v>
      </c>
      <c r="E320" s="1">
        <v>1</v>
      </c>
      <c r="F320" s="1">
        <f>VLOOKUP(C320,m_indikator!$A$2:$F$30,5,TRUE)</f>
        <v>100</v>
      </c>
      <c r="G320" s="15">
        <v>65</v>
      </c>
      <c r="H320" s="1">
        <f>VLOOKUP(C320,m_indikator!$A$2:$F$30,6,TRUE)</f>
        <v>4</v>
      </c>
      <c r="I320" s="15">
        <f t="shared" si="8"/>
        <v>2.6</v>
      </c>
      <c r="J320" t="str">
        <f t="shared" si="9"/>
        <v>update evaluasi set tahun = 1, nilai_maks = 100, nilai_input=65, bobot = 4, nilai_akhir = 2.6, id_indikator = 'C020250223' where id_evaluasi = '20250046_C020250503';</v>
      </c>
      <c r="P320" s="12"/>
      <c r="Q320" s="12"/>
    </row>
    <row r="321" spans="1:17" hidden="1" x14ac:dyDescent="0.35">
      <c r="A321" t="s">
        <v>415</v>
      </c>
      <c r="B321" t="s">
        <v>374</v>
      </c>
      <c r="C321" t="s">
        <v>75</v>
      </c>
      <c r="D321" t="s">
        <v>76</v>
      </c>
      <c r="E321" s="1">
        <v>1</v>
      </c>
      <c r="F321" s="1">
        <f>VLOOKUP(C321,m_indikator!$A$2:$F$30,5,TRUE)</f>
        <v>100</v>
      </c>
      <c r="G321" s="15">
        <v>100</v>
      </c>
      <c r="H321" s="1">
        <f>VLOOKUP(C321,m_indikator!$A$2:$F$30,6,TRUE)</f>
        <v>4</v>
      </c>
      <c r="I321" s="15">
        <f t="shared" si="8"/>
        <v>4</v>
      </c>
      <c r="J321" t="str">
        <f t="shared" si="9"/>
        <v>update evaluasi set tahun = 1, nilai_maks = 100, nilai_input=100, bobot = 4, nilai_akhir = 4, id_indikator = 'C020250223' where id_evaluasi = '20250048_C020250503';</v>
      </c>
      <c r="P321" s="12"/>
      <c r="Q321" s="12"/>
    </row>
    <row r="322" spans="1:17" hidden="1" x14ac:dyDescent="0.35">
      <c r="A322" t="s">
        <v>416</v>
      </c>
      <c r="B322" t="s">
        <v>374</v>
      </c>
      <c r="C322" t="s">
        <v>75</v>
      </c>
      <c r="D322" t="s">
        <v>76</v>
      </c>
      <c r="E322" s="1">
        <v>1</v>
      </c>
      <c r="F322" s="1">
        <f>VLOOKUP(C322,m_indikator!$A$2:$F$30,5,TRUE)</f>
        <v>100</v>
      </c>
      <c r="G322" s="15">
        <v>100</v>
      </c>
      <c r="H322" s="1">
        <f>VLOOKUP(C322,m_indikator!$A$2:$F$30,6,TRUE)</f>
        <v>4</v>
      </c>
      <c r="I322" s="15">
        <f t="shared" ref="I322:I385" si="10">(G322/F322)*H322</f>
        <v>4</v>
      </c>
      <c r="J322" t="str">
        <f t="shared" ref="J322:J385" si="11">"update evaluasi set tahun = "&amp;E322&amp;", nilai_maks = "&amp;F322&amp;", nilai_input="&amp;G322&amp;", bobot = "&amp;H322&amp;", nilai_akhir = "&amp;I322&amp;", id_indikator = '"&amp;C322&amp;"' where id_evaluasi = '"&amp;A322&amp;"';"</f>
        <v>update evaluasi set tahun = 1, nilai_maks = 100, nilai_input=100, bobot = 4, nilai_akhir = 4, id_indikator = 'C020250223' where id_evaluasi = '20250050_C020250503';</v>
      </c>
      <c r="P322" s="12"/>
      <c r="Q322" s="12"/>
    </row>
    <row r="323" spans="1:17" hidden="1" x14ac:dyDescent="0.35">
      <c r="A323" t="s">
        <v>417</v>
      </c>
      <c r="B323" t="s">
        <v>374</v>
      </c>
      <c r="C323" t="s">
        <v>75</v>
      </c>
      <c r="D323" t="s">
        <v>76</v>
      </c>
      <c r="E323" s="1">
        <v>1</v>
      </c>
      <c r="F323" s="1">
        <f>VLOOKUP(C323,m_indikator!$A$2:$F$30,5,TRUE)</f>
        <v>100</v>
      </c>
      <c r="G323" s="15">
        <v>99</v>
      </c>
      <c r="H323" s="1">
        <f>VLOOKUP(C323,m_indikator!$A$2:$F$30,6,TRUE)</f>
        <v>4</v>
      </c>
      <c r="I323" s="15">
        <f t="shared" si="10"/>
        <v>3.96</v>
      </c>
      <c r="J323" t="str">
        <f t="shared" si="11"/>
        <v>update evaluasi set tahun = 1, nilai_maks = 100, nilai_input=99, bobot = 4, nilai_akhir = 3.96, id_indikator = 'C020250223' where id_evaluasi = '20250051_C020250503';</v>
      </c>
      <c r="P323" s="12"/>
      <c r="Q323" s="12"/>
    </row>
    <row r="324" spans="1:17" hidden="1" x14ac:dyDescent="0.35">
      <c r="A324" t="s">
        <v>418</v>
      </c>
      <c r="B324" t="s">
        <v>374</v>
      </c>
      <c r="C324" t="s">
        <v>75</v>
      </c>
      <c r="D324" t="s">
        <v>76</v>
      </c>
      <c r="E324" s="1">
        <v>1</v>
      </c>
      <c r="F324" s="1">
        <f>VLOOKUP(C324,m_indikator!$A$2:$F$30,5,TRUE)</f>
        <v>100</v>
      </c>
      <c r="G324" s="15">
        <v>94</v>
      </c>
      <c r="H324" s="1">
        <f>VLOOKUP(C324,m_indikator!$A$2:$F$30,6,TRUE)</f>
        <v>4</v>
      </c>
      <c r="I324" s="15">
        <f t="shared" si="10"/>
        <v>3.76</v>
      </c>
      <c r="J324" t="str">
        <f t="shared" si="11"/>
        <v>update evaluasi set tahun = 1, nilai_maks = 100, nilai_input=94, bobot = 4, nilai_akhir = 3.76, id_indikator = 'C020250223' where id_evaluasi = '20250052_C020250503';</v>
      </c>
      <c r="P324" s="12"/>
      <c r="Q324" s="12"/>
    </row>
    <row r="325" spans="1:17" hidden="1" x14ac:dyDescent="0.35">
      <c r="A325" t="s">
        <v>419</v>
      </c>
      <c r="B325" t="s">
        <v>374</v>
      </c>
      <c r="C325" t="s">
        <v>75</v>
      </c>
      <c r="D325" t="s">
        <v>76</v>
      </c>
      <c r="E325" s="1">
        <v>1</v>
      </c>
      <c r="F325" s="1">
        <f>VLOOKUP(C325,m_indikator!$A$2:$F$30,5,TRUE)</f>
        <v>100</v>
      </c>
      <c r="G325" s="15">
        <v>100</v>
      </c>
      <c r="H325" s="1">
        <f>VLOOKUP(C325,m_indikator!$A$2:$F$30,6,TRUE)</f>
        <v>4</v>
      </c>
      <c r="I325" s="15">
        <f t="shared" si="10"/>
        <v>4</v>
      </c>
      <c r="J325" t="str">
        <f t="shared" si="11"/>
        <v>update evaluasi set tahun = 1, nilai_maks = 100, nilai_input=100, bobot = 4, nilai_akhir = 4, id_indikator = 'C020250223' where id_evaluasi = '20250053_C020250503';</v>
      </c>
      <c r="P325" s="12"/>
      <c r="Q325" s="12"/>
    </row>
    <row r="326" spans="1:17" hidden="1" x14ac:dyDescent="0.35">
      <c r="A326" t="s">
        <v>420</v>
      </c>
      <c r="B326" t="s">
        <v>374</v>
      </c>
      <c r="C326" t="s">
        <v>75</v>
      </c>
      <c r="D326" t="s">
        <v>76</v>
      </c>
      <c r="E326" s="1">
        <v>1</v>
      </c>
      <c r="F326" s="1">
        <f>VLOOKUP(C326,m_indikator!$A$2:$F$30,5,TRUE)</f>
        <v>100</v>
      </c>
      <c r="G326" s="15">
        <v>100</v>
      </c>
      <c r="H326" s="1">
        <f>VLOOKUP(C326,m_indikator!$A$2:$F$30,6,TRUE)</f>
        <v>4</v>
      </c>
      <c r="I326" s="15">
        <f t="shared" si="10"/>
        <v>4</v>
      </c>
      <c r="J326" t="str">
        <f t="shared" si="11"/>
        <v>update evaluasi set tahun = 1, nilai_maks = 100, nilai_input=100, bobot = 4, nilai_akhir = 4, id_indikator = 'C020250223' where id_evaluasi = '20250054_C020250503';</v>
      </c>
      <c r="P326" s="12"/>
      <c r="Q326" s="12"/>
    </row>
    <row r="327" spans="1:17" hidden="1" x14ac:dyDescent="0.35">
      <c r="A327" t="s">
        <v>421</v>
      </c>
      <c r="B327" t="s">
        <v>374</v>
      </c>
      <c r="C327" t="s">
        <v>75</v>
      </c>
      <c r="D327" t="s">
        <v>76</v>
      </c>
      <c r="E327" s="1">
        <v>1</v>
      </c>
      <c r="F327" s="1">
        <f>VLOOKUP(C327,m_indikator!$A$2:$F$30,5,TRUE)</f>
        <v>100</v>
      </c>
      <c r="G327" s="15">
        <v>95</v>
      </c>
      <c r="H327" s="1">
        <f>VLOOKUP(C327,m_indikator!$A$2:$F$30,6,TRUE)</f>
        <v>4</v>
      </c>
      <c r="I327" s="15">
        <f t="shared" si="10"/>
        <v>3.8</v>
      </c>
      <c r="J327" t="str">
        <f t="shared" si="11"/>
        <v>update evaluasi set tahun = 1, nilai_maks = 100, nilai_input=95, bobot = 4, nilai_akhir = 3.8, id_indikator = 'C020250223' where id_evaluasi = '20250055_C020250503';</v>
      </c>
      <c r="P327" s="12"/>
      <c r="Q327" s="12"/>
    </row>
    <row r="328" spans="1:17" hidden="1" x14ac:dyDescent="0.35">
      <c r="A328" t="s">
        <v>422</v>
      </c>
      <c r="B328" t="s">
        <v>374</v>
      </c>
      <c r="C328" t="s">
        <v>75</v>
      </c>
      <c r="D328" t="s">
        <v>76</v>
      </c>
      <c r="E328" s="1">
        <v>1</v>
      </c>
      <c r="F328" s="1">
        <f>VLOOKUP(C328,m_indikator!$A$2:$F$30,5,TRUE)</f>
        <v>100</v>
      </c>
      <c r="G328" s="15">
        <v>84</v>
      </c>
      <c r="H328" s="1">
        <f>VLOOKUP(C328,m_indikator!$A$2:$F$30,6,TRUE)</f>
        <v>4</v>
      </c>
      <c r="I328" s="15">
        <f t="shared" si="10"/>
        <v>3.36</v>
      </c>
      <c r="J328" t="str">
        <f t="shared" si="11"/>
        <v>update evaluasi set tahun = 1, nilai_maks = 100, nilai_input=84, bobot = 4, nilai_akhir = 3.36, id_indikator = 'C020250223' where id_evaluasi = '20250095_C020250503';</v>
      </c>
      <c r="P328" s="12"/>
      <c r="Q328" s="12"/>
    </row>
    <row r="329" spans="1:17" hidden="1" x14ac:dyDescent="0.35">
      <c r="A329" t="s">
        <v>423</v>
      </c>
      <c r="B329" t="s">
        <v>374</v>
      </c>
      <c r="C329" t="s">
        <v>75</v>
      </c>
      <c r="D329" t="s">
        <v>76</v>
      </c>
      <c r="E329" s="1">
        <v>1</v>
      </c>
      <c r="F329" s="1">
        <f>VLOOKUP(C329,m_indikator!$A$2:$F$30,5,TRUE)</f>
        <v>100</v>
      </c>
      <c r="G329" s="15">
        <v>84</v>
      </c>
      <c r="H329" s="1">
        <f>VLOOKUP(C329,m_indikator!$A$2:$F$30,6,TRUE)</f>
        <v>4</v>
      </c>
      <c r="I329" s="15">
        <f t="shared" si="10"/>
        <v>3.36</v>
      </c>
      <c r="J329" t="str">
        <f t="shared" si="11"/>
        <v>update evaluasi set tahun = 1, nilai_maks = 100, nilai_input=84, bobot = 4, nilai_akhir = 3.36, id_indikator = 'C020250223' where id_evaluasi = '20250106_C020250503';</v>
      </c>
      <c r="P329" s="12"/>
      <c r="Q329" s="12"/>
    </row>
    <row r="330" spans="1:17" hidden="1" x14ac:dyDescent="0.35">
      <c r="A330" t="s">
        <v>451</v>
      </c>
      <c r="B330" t="s">
        <v>425</v>
      </c>
      <c r="C330" t="s">
        <v>77</v>
      </c>
      <c r="D330" t="s">
        <v>78</v>
      </c>
      <c r="E330" s="1">
        <v>1</v>
      </c>
      <c r="F330" s="1">
        <f>VLOOKUP(C330,m_indikator!$A$2:$F$30,5,TRUE)</f>
        <v>4</v>
      </c>
      <c r="G330" s="15">
        <v>77.8</v>
      </c>
      <c r="H330" s="1">
        <f>VLOOKUP(C330,m_indikator!$A$2:$F$30,6,TRUE)</f>
        <v>4</v>
      </c>
      <c r="I330" s="15">
        <f t="shared" si="10"/>
        <v>77.8</v>
      </c>
      <c r="J330" t="str">
        <f t="shared" si="11"/>
        <v>update evaluasi set tahun = 1, nilai_maks = 4, nilai_input=77.8, bobot = 4, nilai_akhir = 77.8, id_indikator = 'C020250224' where id_evaluasi = '20250001_C020250504';</v>
      </c>
      <c r="K330" s="14"/>
      <c r="P330" s="12"/>
      <c r="Q330" s="12"/>
    </row>
    <row r="331" spans="1:17" hidden="1" x14ac:dyDescent="0.35">
      <c r="A331" t="s">
        <v>452</v>
      </c>
      <c r="B331" t="s">
        <v>425</v>
      </c>
      <c r="C331" t="s">
        <v>77</v>
      </c>
      <c r="D331" t="s">
        <v>78</v>
      </c>
      <c r="E331" s="1">
        <v>1</v>
      </c>
      <c r="F331" s="1">
        <f>VLOOKUP(C331,m_indikator!$A$2:$F$30,5,TRUE)</f>
        <v>4</v>
      </c>
      <c r="G331" s="15">
        <v>78</v>
      </c>
      <c r="H331" s="1">
        <f>VLOOKUP(C331,m_indikator!$A$2:$F$30,6,TRUE)</f>
        <v>4</v>
      </c>
      <c r="I331" s="15">
        <f t="shared" si="10"/>
        <v>78</v>
      </c>
      <c r="J331" t="str">
        <f t="shared" si="11"/>
        <v>update evaluasi set tahun = 1, nilai_maks = 4, nilai_input=78, bobot = 4, nilai_akhir = 78, id_indikator = 'C020250224' where id_evaluasi = '20250002_C020250504';</v>
      </c>
      <c r="K331" s="14"/>
      <c r="P331" s="12"/>
      <c r="Q331" s="12"/>
    </row>
    <row r="332" spans="1:17" hidden="1" x14ac:dyDescent="0.35">
      <c r="A332" t="s">
        <v>453</v>
      </c>
      <c r="B332" t="s">
        <v>425</v>
      </c>
      <c r="C332" t="s">
        <v>77</v>
      </c>
      <c r="D332" t="s">
        <v>78</v>
      </c>
      <c r="E332" s="1">
        <v>1</v>
      </c>
      <c r="F332" s="1">
        <f>VLOOKUP(C332,m_indikator!$A$2:$F$30,5,TRUE)</f>
        <v>4</v>
      </c>
      <c r="G332" s="15">
        <v>78</v>
      </c>
      <c r="H332" s="1">
        <f>VLOOKUP(C332,m_indikator!$A$2:$F$30,6,TRUE)</f>
        <v>4</v>
      </c>
      <c r="I332" s="15">
        <f t="shared" si="10"/>
        <v>78</v>
      </c>
      <c r="J332" t="str">
        <f t="shared" si="11"/>
        <v>update evaluasi set tahun = 1, nilai_maks = 4, nilai_input=78, bobot = 4, nilai_akhir = 78, id_indikator = 'C020250224' where id_evaluasi = '20250003_C020250504';</v>
      </c>
      <c r="K332" s="14"/>
      <c r="P332" s="12"/>
      <c r="Q332" s="12"/>
    </row>
    <row r="333" spans="1:17" hidden="1" x14ac:dyDescent="0.35">
      <c r="A333" t="s">
        <v>454</v>
      </c>
      <c r="B333" t="s">
        <v>425</v>
      </c>
      <c r="C333" t="s">
        <v>77</v>
      </c>
      <c r="D333" t="s">
        <v>78</v>
      </c>
      <c r="E333" s="1">
        <v>1</v>
      </c>
      <c r="F333" s="1">
        <f>VLOOKUP(C333,m_indikator!$A$2:$F$30,5,TRUE)</f>
        <v>4</v>
      </c>
      <c r="G333" s="15">
        <v>83</v>
      </c>
      <c r="H333" s="1">
        <f>VLOOKUP(C333,m_indikator!$A$2:$F$30,6,TRUE)</f>
        <v>4</v>
      </c>
      <c r="I333" s="15">
        <f t="shared" si="10"/>
        <v>83</v>
      </c>
      <c r="J333" t="str">
        <f t="shared" si="11"/>
        <v>update evaluasi set tahun = 1, nilai_maks = 4, nilai_input=83, bobot = 4, nilai_akhir = 83, id_indikator = 'C020250224' where id_evaluasi = '20250004_C020250504';</v>
      </c>
      <c r="P333" s="12"/>
      <c r="Q333" s="12"/>
    </row>
    <row r="334" spans="1:17" hidden="1" x14ac:dyDescent="0.35">
      <c r="A334" t="s">
        <v>455</v>
      </c>
      <c r="B334" t="s">
        <v>425</v>
      </c>
      <c r="C334" t="s">
        <v>77</v>
      </c>
      <c r="D334" t="s">
        <v>78</v>
      </c>
      <c r="E334" s="1">
        <v>1</v>
      </c>
      <c r="F334" s="1">
        <f>VLOOKUP(C334,m_indikator!$A$2:$F$30,5,TRUE)</f>
        <v>4</v>
      </c>
      <c r="G334" s="15">
        <v>78</v>
      </c>
      <c r="H334" s="1">
        <f>VLOOKUP(C334,m_indikator!$A$2:$F$30,6,TRUE)</f>
        <v>4</v>
      </c>
      <c r="I334" s="15">
        <f t="shared" si="10"/>
        <v>78</v>
      </c>
      <c r="J334" t="str">
        <f t="shared" si="11"/>
        <v>update evaluasi set tahun = 1, nilai_maks = 4, nilai_input=78, bobot = 4, nilai_akhir = 78, id_indikator = 'C020250224' where id_evaluasi = '20250005_C020250504';</v>
      </c>
      <c r="P334" s="12"/>
      <c r="Q334" s="12"/>
    </row>
    <row r="335" spans="1:17" hidden="1" x14ac:dyDescent="0.35">
      <c r="A335" t="s">
        <v>456</v>
      </c>
      <c r="B335" t="s">
        <v>425</v>
      </c>
      <c r="C335" t="s">
        <v>77</v>
      </c>
      <c r="D335" t="s">
        <v>78</v>
      </c>
      <c r="E335" s="1">
        <v>1</v>
      </c>
      <c r="F335" s="1">
        <f>VLOOKUP(C335,m_indikator!$A$2:$F$30,5,TRUE)</f>
        <v>4</v>
      </c>
      <c r="G335" s="15">
        <v>85</v>
      </c>
      <c r="H335" s="1">
        <f>VLOOKUP(C335,m_indikator!$A$2:$F$30,6,TRUE)</f>
        <v>4</v>
      </c>
      <c r="I335" s="15">
        <f t="shared" si="10"/>
        <v>85</v>
      </c>
      <c r="J335" t="str">
        <f t="shared" si="11"/>
        <v>update evaluasi set tahun = 1, nilai_maks = 4, nilai_input=85, bobot = 4, nilai_akhir = 85, id_indikator = 'C020250224' where id_evaluasi = '20250006_C020250504';</v>
      </c>
      <c r="K335" s="14"/>
      <c r="P335" s="12"/>
      <c r="Q335" s="12"/>
    </row>
    <row r="336" spans="1:17" hidden="1" x14ac:dyDescent="0.35">
      <c r="A336" t="s">
        <v>457</v>
      </c>
      <c r="B336" t="s">
        <v>425</v>
      </c>
      <c r="C336" t="s">
        <v>77</v>
      </c>
      <c r="D336" t="s">
        <v>78</v>
      </c>
      <c r="E336" s="1">
        <v>1</v>
      </c>
      <c r="F336" s="1">
        <f>VLOOKUP(C336,m_indikator!$A$2:$F$30,5,TRUE)</f>
        <v>4</v>
      </c>
      <c r="G336" s="15">
        <v>81.2</v>
      </c>
      <c r="H336" s="1">
        <f>VLOOKUP(C336,m_indikator!$A$2:$F$30,6,TRUE)</f>
        <v>4</v>
      </c>
      <c r="I336" s="15">
        <f t="shared" si="10"/>
        <v>81.2</v>
      </c>
      <c r="J336" t="str">
        <f t="shared" si="11"/>
        <v>update evaluasi set tahun = 1, nilai_maks = 4, nilai_input=81.2, bobot = 4, nilai_akhir = 81.2, id_indikator = 'C020250224' where id_evaluasi = '20250007_C020250504';</v>
      </c>
      <c r="K336" s="14"/>
      <c r="P336" s="12"/>
      <c r="Q336" s="12"/>
    </row>
    <row r="337" spans="1:17" hidden="1" x14ac:dyDescent="0.35">
      <c r="A337" t="s">
        <v>458</v>
      </c>
      <c r="B337" t="s">
        <v>425</v>
      </c>
      <c r="C337" t="s">
        <v>77</v>
      </c>
      <c r="D337" t="s">
        <v>78</v>
      </c>
      <c r="E337" s="1">
        <v>1</v>
      </c>
      <c r="F337" s="1">
        <f>VLOOKUP(C337,m_indikator!$A$2:$F$30,5,TRUE)</f>
        <v>4</v>
      </c>
      <c r="G337" s="15">
        <v>81.2</v>
      </c>
      <c r="H337" s="1">
        <f>VLOOKUP(C337,m_indikator!$A$2:$F$30,6,TRUE)</f>
        <v>4</v>
      </c>
      <c r="I337" s="15">
        <f t="shared" si="10"/>
        <v>81.2</v>
      </c>
      <c r="J337" t="str">
        <f t="shared" si="11"/>
        <v>update evaluasi set tahun = 1, nilai_maks = 4, nilai_input=81.2, bobot = 4, nilai_akhir = 81.2, id_indikator = 'C020250224' where id_evaluasi = '20250008_C020250504';</v>
      </c>
      <c r="P337" s="12"/>
      <c r="Q337" s="12"/>
    </row>
    <row r="338" spans="1:17" hidden="1" x14ac:dyDescent="0.35">
      <c r="A338" t="s">
        <v>459</v>
      </c>
      <c r="B338" t="s">
        <v>425</v>
      </c>
      <c r="C338" t="s">
        <v>77</v>
      </c>
      <c r="D338" t="s">
        <v>78</v>
      </c>
      <c r="E338" s="1">
        <v>1</v>
      </c>
      <c r="F338" s="1">
        <f>VLOOKUP(C338,m_indikator!$A$2:$F$30,5,TRUE)</f>
        <v>4</v>
      </c>
      <c r="G338" s="15">
        <v>84</v>
      </c>
      <c r="H338" s="1">
        <f>VLOOKUP(C338,m_indikator!$A$2:$F$30,6,TRUE)</f>
        <v>4</v>
      </c>
      <c r="I338" s="15">
        <f t="shared" si="10"/>
        <v>84</v>
      </c>
      <c r="J338" t="str">
        <f t="shared" si="11"/>
        <v>update evaluasi set tahun = 1, nilai_maks = 4, nilai_input=84, bobot = 4, nilai_akhir = 84, id_indikator = 'C020250224' where id_evaluasi = '20250009_C020250504';</v>
      </c>
      <c r="P338" s="12"/>
      <c r="Q338" s="12"/>
    </row>
    <row r="339" spans="1:17" hidden="1" x14ac:dyDescent="0.35">
      <c r="A339" t="s">
        <v>460</v>
      </c>
      <c r="B339" t="s">
        <v>425</v>
      </c>
      <c r="C339" t="s">
        <v>77</v>
      </c>
      <c r="D339" t="s">
        <v>78</v>
      </c>
      <c r="E339" s="1">
        <v>1</v>
      </c>
      <c r="F339" s="1">
        <f>VLOOKUP(C339,m_indikator!$A$2:$F$30,5,TRUE)</f>
        <v>4</v>
      </c>
      <c r="G339" s="15">
        <v>84</v>
      </c>
      <c r="H339" s="1">
        <f>VLOOKUP(C339,m_indikator!$A$2:$F$30,6,TRUE)</f>
        <v>4</v>
      </c>
      <c r="I339" s="15">
        <f t="shared" si="10"/>
        <v>84</v>
      </c>
      <c r="J339" t="str">
        <f t="shared" si="11"/>
        <v>update evaluasi set tahun = 1, nilai_maks = 4, nilai_input=84, bobot = 4, nilai_akhir = 84, id_indikator = 'C020250224' where id_evaluasi = '20250010_C020250504';</v>
      </c>
      <c r="K339" s="14"/>
      <c r="P339" s="12"/>
      <c r="Q339" s="12"/>
    </row>
    <row r="340" spans="1:17" hidden="1" x14ac:dyDescent="0.35">
      <c r="A340" t="s">
        <v>461</v>
      </c>
      <c r="B340" t="s">
        <v>425</v>
      </c>
      <c r="C340" t="s">
        <v>77</v>
      </c>
      <c r="D340" t="s">
        <v>78</v>
      </c>
      <c r="E340" s="1">
        <v>1</v>
      </c>
      <c r="F340" s="1">
        <f>VLOOKUP(C340,m_indikator!$A$2:$F$30,5,TRUE)</f>
        <v>4</v>
      </c>
      <c r="G340" s="15">
        <v>84</v>
      </c>
      <c r="H340" s="1">
        <f>VLOOKUP(C340,m_indikator!$A$2:$F$30,6,TRUE)</f>
        <v>4</v>
      </c>
      <c r="I340" s="15">
        <f t="shared" si="10"/>
        <v>84</v>
      </c>
      <c r="J340" t="str">
        <f t="shared" si="11"/>
        <v>update evaluasi set tahun = 1, nilai_maks = 4, nilai_input=84, bobot = 4, nilai_akhir = 84, id_indikator = 'C020250224' where id_evaluasi = '20250011_C020250504';</v>
      </c>
      <c r="K340" s="14"/>
      <c r="P340" s="12"/>
      <c r="Q340" s="12"/>
    </row>
    <row r="341" spans="1:17" hidden="1" x14ac:dyDescent="0.35">
      <c r="A341" t="s">
        <v>462</v>
      </c>
      <c r="B341" t="s">
        <v>425</v>
      </c>
      <c r="C341" t="s">
        <v>77</v>
      </c>
      <c r="D341" t="s">
        <v>78</v>
      </c>
      <c r="E341" s="1">
        <v>1</v>
      </c>
      <c r="F341" s="1">
        <f>VLOOKUP(C341,m_indikator!$A$2:$F$30,5,TRUE)</f>
        <v>4</v>
      </c>
      <c r="G341" s="15">
        <v>80.2</v>
      </c>
      <c r="H341" s="1">
        <f>VLOOKUP(C341,m_indikator!$A$2:$F$30,6,TRUE)</f>
        <v>4</v>
      </c>
      <c r="I341" s="15">
        <f t="shared" si="10"/>
        <v>80.2</v>
      </c>
      <c r="J341" t="str">
        <f t="shared" si="11"/>
        <v>update evaluasi set tahun = 1, nilai_maks = 4, nilai_input=80.2, bobot = 4, nilai_akhir = 80.2, id_indikator = 'C020250224' where id_evaluasi = '20250012_C020250504';</v>
      </c>
      <c r="K341" s="14"/>
      <c r="P341" s="12"/>
      <c r="Q341" s="12"/>
    </row>
    <row r="342" spans="1:17" hidden="1" x14ac:dyDescent="0.35">
      <c r="A342" t="s">
        <v>463</v>
      </c>
      <c r="B342" t="s">
        <v>425</v>
      </c>
      <c r="C342" t="s">
        <v>77</v>
      </c>
      <c r="D342" t="s">
        <v>78</v>
      </c>
      <c r="E342" s="1">
        <v>1</v>
      </c>
      <c r="F342" s="1">
        <f>VLOOKUP(C342,m_indikator!$A$2:$F$30,5,TRUE)</f>
        <v>4</v>
      </c>
      <c r="G342" s="15">
        <v>83</v>
      </c>
      <c r="H342" s="1">
        <f>VLOOKUP(C342,m_indikator!$A$2:$F$30,6,TRUE)</f>
        <v>4</v>
      </c>
      <c r="I342" s="15">
        <f t="shared" si="10"/>
        <v>83</v>
      </c>
      <c r="J342" t="str">
        <f t="shared" si="11"/>
        <v>update evaluasi set tahun = 1, nilai_maks = 4, nilai_input=83, bobot = 4, nilai_akhir = 83, id_indikator = 'C020250224' where id_evaluasi = '20250013_C020250504';</v>
      </c>
      <c r="P342" s="12"/>
      <c r="Q342" s="12"/>
    </row>
    <row r="343" spans="1:17" hidden="1" x14ac:dyDescent="0.35">
      <c r="A343" t="s">
        <v>464</v>
      </c>
      <c r="B343" t="s">
        <v>425</v>
      </c>
      <c r="C343" t="s">
        <v>77</v>
      </c>
      <c r="D343" t="s">
        <v>78</v>
      </c>
      <c r="E343" s="1">
        <v>1</v>
      </c>
      <c r="F343" s="1">
        <f>VLOOKUP(C343,m_indikator!$A$2:$F$30,5,TRUE)</f>
        <v>4</v>
      </c>
      <c r="G343" s="15">
        <v>78.2</v>
      </c>
      <c r="H343" s="1">
        <f>VLOOKUP(C343,m_indikator!$A$2:$F$30,6,TRUE)</f>
        <v>4</v>
      </c>
      <c r="I343" s="15">
        <f t="shared" si="10"/>
        <v>78.2</v>
      </c>
      <c r="J343" t="str">
        <f t="shared" si="11"/>
        <v>update evaluasi set tahun = 1, nilai_maks = 4, nilai_input=78.2, bobot = 4, nilai_akhir = 78.2, id_indikator = 'C020250224' where id_evaluasi = '20250014_C020250504';</v>
      </c>
      <c r="K343" s="14"/>
      <c r="P343" s="12"/>
      <c r="Q343" s="12"/>
    </row>
    <row r="344" spans="1:17" hidden="1" x14ac:dyDescent="0.35">
      <c r="A344" t="s">
        <v>465</v>
      </c>
      <c r="B344" t="s">
        <v>425</v>
      </c>
      <c r="C344" t="s">
        <v>77</v>
      </c>
      <c r="D344" t="s">
        <v>78</v>
      </c>
      <c r="E344" s="1">
        <v>1</v>
      </c>
      <c r="F344" s="1">
        <f>VLOOKUP(C344,m_indikator!$A$2:$F$30,5,TRUE)</f>
        <v>4</v>
      </c>
      <c r="G344" s="15">
        <v>75</v>
      </c>
      <c r="H344" s="1">
        <f>VLOOKUP(C344,m_indikator!$A$2:$F$30,6,TRUE)</f>
        <v>4</v>
      </c>
      <c r="I344" s="15">
        <f t="shared" si="10"/>
        <v>75</v>
      </c>
      <c r="J344" t="str">
        <f t="shared" si="11"/>
        <v>update evaluasi set tahun = 1, nilai_maks = 4, nilai_input=75, bobot = 4, nilai_akhir = 75, id_indikator = 'C020250224' where id_evaluasi = '20250015_C020250504';</v>
      </c>
      <c r="K344" s="14"/>
      <c r="P344" s="12"/>
      <c r="Q344" s="12"/>
    </row>
    <row r="345" spans="1:17" hidden="1" x14ac:dyDescent="0.35">
      <c r="A345" t="s">
        <v>466</v>
      </c>
      <c r="B345" t="s">
        <v>425</v>
      </c>
      <c r="C345" t="s">
        <v>77</v>
      </c>
      <c r="D345" t="s">
        <v>78</v>
      </c>
      <c r="E345" s="1">
        <v>1</v>
      </c>
      <c r="F345" s="1">
        <f>VLOOKUP(C345,m_indikator!$A$2:$F$30,5,TRUE)</f>
        <v>4</v>
      </c>
      <c r="G345" s="15">
        <v>84</v>
      </c>
      <c r="H345" s="1">
        <f>VLOOKUP(C345,m_indikator!$A$2:$F$30,6,TRUE)</f>
        <v>4</v>
      </c>
      <c r="I345" s="15">
        <f t="shared" si="10"/>
        <v>84</v>
      </c>
      <c r="J345" t="str">
        <f t="shared" si="11"/>
        <v>update evaluasi set tahun = 1, nilai_maks = 4, nilai_input=84, bobot = 4, nilai_akhir = 84, id_indikator = 'C020250224' where id_evaluasi = '20250016_C020250504';</v>
      </c>
      <c r="K345" s="14"/>
      <c r="P345" s="12"/>
      <c r="Q345" s="12"/>
    </row>
    <row r="346" spans="1:17" hidden="1" x14ac:dyDescent="0.35">
      <c r="A346" t="s">
        <v>467</v>
      </c>
      <c r="B346" t="s">
        <v>425</v>
      </c>
      <c r="C346" t="s">
        <v>77</v>
      </c>
      <c r="D346" t="s">
        <v>78</v>
      </c>
      <c r="E346" s="1">
        <v>1</v>
      </c>
      <c r="F346" s="1">
        <f>VLOOKUP(C346,m_indikator!$A$2:$F$30,5,TRUE)</f>
        <v>4</v>
      </c>
      <c r="G346" s="15">
        <v>81.599999999999994</v>
      </c>
      <c r="H346" s="1">
        <f>VLOOKUP(C346,m_indikator!$A$2:$F$30,6,TRUE)</f>
        <v>4</v>
      </c>
      <c r="I346" s="15">
        <f t="shared" si="10"/>
        <v>81.599999999999994</v>
      </c>
      <c r="J346" t="str">
        <f t="shared" si="11"/>
        <v>update evaluasi set tahun = 1, nilai_maks = 4, nilai_input=81.6, bobot = 4, nilai_akhir = 81.6, id_indikator = 'C020250224' where id_evaluasi = '20250017_C020250504';</v>
      </c>
      <c r="K346" s="14"/>
      <c r="P346" s="12"/>
      <c r="Q346" s="12"/>
    </row>
    <row r="347" spans="1:17" hidden="1" x14ac:dyDescent="0.35">
      <c r="A347" t="s">
        <v>468</v>
      </c>
      <c r="B347" t="s">
        <v>425</v>
      </c>
      <c r="C347" t="s">
        <v>77</v>
      </c>
      <c r="D347" t="s">
        <v>78</v>
      </c>
      <c r="E347" s="1">
        <v>1</v>
      </c>
      <c r="F347" s="1">
        <f>VLOOKUP(C347,m_indikator!$A$2:$F$30,5,TRUE)</f>
        <v>4</v>
      </c>
      <c r="G347" s="15">
        <v>66</v>
      </c>
      <c r="H347" s="1">
        <f>VLOOKUP(C347,m_indikator!$A$2:$F$30,6,TRUE)</f>
        <v>4</v>
      </c>
      <c r="I347" s="15">
        <f t="shared" si="10"/>
        <v>66</v>
      </c>
      <c r="J347" t="str">
        <f t="shared" si="11"/>
        <v>update evaluasi set tahun = 1, nilai_maks = 4, nilai_input=66, bobot = 4, nilai_akhir = 66, id_indikator = 'C020250224' where id_evaluasi = '20250018_C020250504';</v>
      </c>
      <c r="K347" s="14"/>
      <c r="P347" s="12"/>
      <c r="Q347" s="12"/>
    </row>
    <row r="348" spans="1:17" hidden="1" x14ac:dyDescent="0.35">
      <c r="A348" t="s">
        <v>469</v>
      </c>
      <c r="B348" t="s">
        <v>425</v>
      </c>
      <c r="C348" t="s">
        <v>77</v>
      </c>
      <c r="D348" t="s">
        <v>78</v>
      </c>
      <c r="E348" s="1">
        <v>1</v>
      </c>
      <c r="F348" s="1">
        <f>VLOOKUP(C348,m_indikator!$A$2:$F$30,5,TRUE)</f>
        <v>4</v>
      </c>
      <c r="G348" s="15">
        <v>73.400000000000006</v>
      </c>
      <c r="H348" s="1">
        <f>VLOOKUP(C348,m_indikator!$A$2:$F$30,6,TRUE)</f>
        <v>4</v>
      </c>
      <c r="I348" s="15">
        <f t="shared" si="10"/>
        <v>73.400000000000006</v>
      </c>
      <c r="J348" t="str">
        <f t="shared" si="11"/>
        <v>update evaluasi set tahun = 1, nilai_maks = 4, nilai_input=73.4, bobot = 4, nilai_akhir = 73.4, id_indikator = 'C020250224' where id_evaluasi = '20250019_C020250504';</v>
      </c>
      <c r="K348" s="14"/>
      <c r="P348" s="12"/>
      <c r="Q348" s="12"/>
    </row>
    <row r="349" spans="1:17" hidden="1" x14ac:dyDescent="0.35">
      <c r="A349" t="s">
        <v>470</v>
      </c>
      <c r="B349" t="s">
        <v>425</v>
      </c>
      <c r="C349" t="s">
        <v>77</v>
      </c>
      <c r="D349" t="s">
        <v>78</v>
      </c>
      <c r="E349" s="1">
        <v>1</v>
      </c>
      <c r="F349" s="1">
        <f>VLOOKUP(C349,m_indikator!$A$2:$F$30,5,TRUE)</f>
        <v>4</v>
      </c>
      <c r="G349" s="15">
        <v>84</v>
      </c>
      <c r="H349" s="1">
        <f>VLOOKUP(C349,m_indikator!$A$2:$F$30,6,TRUE)</f>
        <v>4</v>
      </c>
      <c r="I349" s="15">
        <f t="shared" si="10"/>
        <v>84</v>
      </c>
      <c r="J349" t="str">
        <f t="shared" si="11"/>
        <v>update evaluasi set tahun = 1, nilai_maks = 4, nilai_input=84, bobot = 4, nilai_akhir = 84, id_indikator = 'C020250224' where id_evaluasi = '20250020_C020250504';</v>
      </c>
      <c r="K349" s="14"/>
      <c r="P349" s="12"/>
      <c r="Q349" s="12"/>
    </row>
    <row r="350" spans="1:17" hidden="1" x14ac:dyDescent="0.35">
      <c r="A350" t="s">
        <v>471</v>
      </c>
      <c r="B350" t="s">
        <v>425</v>
      </c>
      <c r="C350" t="s">
        <v>77</v>
      </c>
      <c r="D350" t="s">
        <v>78</v>
      </c>
      <c r="E350" s="1">
        <v>1</v>
      </c>
      <c r="F350" s="1">
        <f>VLOOKUP(C350,m_indikator!$A$2:$F$30,5,TRUE)</f>
        <v>4</v>
      </c>
      <c r="G350" s="15">
        <v>77</v>
      </c>
      <c r="H350" s="1">
        <f>VLOOKUP(C350,m_indikator!$A$2:$F$30,6,TRUE)</f>
        <v>4</v>
      </c>
      <c r="I350" s="15">
        <f t="shared" si="10"/>
        <v>77</v>
      </c>
      <c r="J350" t="str">
        <f t="shared" si="11"/>
        <v>update evaluasi set tahun = 1, nilai_maks = 4, nilai_input=77, bobot = 4, nilai_akhir = 77, id_indikator = 'C020250224' where id_evaluasi = '20250021_C020250504';</v>
      </c>
      <c r="K350" s="14"/>
      <c r="P350" s="12"/>
      <c r="Q350" s="12"/>
    </row>
    <row r="351" spans="1:17" hidden="1" x14ac:dyDescent="0.35">
      <c r="A351" t="s">
        <v>472</v>
      </c>
      <c r="B351" t="s">
        <v>425</v>
      </c>
      <c r="C351" t="s">
        <v>77</v>
      </c>
      <c r="D351" t="s">
        <v>78</v>
      </c>
      <c r="E351" s="1">
        <v>1</v>
      </c>
      <c r="F351" s="1">
        <f>VLOOKUP(C351,m_indikator!$A$2:$F$30,5,TRUE)</f>
        <v>4</v>
      </c>
      <c r="G351" s="15">
        <v>75.599999999999994</v>
      </c>
      <c r="H351" s="1">
        <f>VLOOKUP(C351,m_indikator!$A$2:$F$30,6,TRUE)</f>
        <v>4</v>
      </c>
      <c r="I351" s="15">
        <f t="shared" si="10"/>
        <v>75.599999999999994</v>
      </c>
      <c r="J351" t="str">
        <f t="shared" si="11"/>
        <v>update evaluasi set tahun = 1, nilai_maks = 4, nilai_input=75.6, bobot = 4, nilai_akhir = 75.6, id_indikator = 'C020250224' where id_evaluasi = '20250022_C020250504';</v>
      </c>
      <c r="K351" s="14"/>
      <c r="P351" s="12"/>
      <c r="Q351" s="12"/>
    </row>
    <row r="352" spans="1:17" hidden="1" x14ac:dyDescent="0.35">
      <c r="A352" t="s">
        <v>473</v>
      </c>
      <c r="B352" t="s">
        <v>425</v>
      </c>
      <c r="C352" t="s">
        <v>77</v>
      </c>
      <c r="D352" t="s">
        <v>78</v>
      </c>
      <c r="E352" s="1">
        <v>1</v>
      </c>
      <c r="F352" s="1">
        <f>VLOOKUP(C352,m_indikator!$A$2:$F$30,5,TRUE)</f>
        <v>4</v>
      </c>
      <c r="G352" s="15">
        <v>70.599999999999994</v>
      </c>
      <c r="H352" s="1">
        <f>VLOOKUP(C352,m_indikator!$A$2:$F$30,6,TRUE)</f>
        <v>4</v>
      </c>
      <c r="I352" s="15">
        <f t="shared" si="10"/>
        <v>70.599999999999994</v>
      </c>
      <c r="J352" t="str">
        <f t="shared" si="11"/>
        <v>update evaluasi set tahun = 1, nilai_maks = 4, nilai_input=70.6, bobot = 4, nilai_akhir = 70.6, id_indikator = 'C020250224' where id_evaluasi = '20250023_C020250504';</v>
      </c>
      <c r="K352" s="14"/>
      <c r="P352" s="12"/>
      <c r="Q352" s="12"/>
    </row>
    <row r="353" spans="1:17" hidden="1" x14ac:dyDescent="0.35">
      <c r="A353" t="s">
        <v>474</v>
      </c>
      <c r="B353" t="s">
        <v>425</v>
      </c>
      <c r="C353" t="s">
        <v>77</v>
      </c>
      <c r="D353" t="s">
        <v>78</v>
      </c>
      <c r="E353" s="1">
        <v>1</v>
      </c>
      <c r="F353" s="1">
        <f>VLOOKUP(C353,m_indikator!$A$2:$F$30,5,TRUE)</f>
        <v>4</v>
      </c>
      <c r="G353" s="15">
        <v>82.6</v>
      </c>
      <c r="H353" s="1">
        <f>VLOOKUP(C353,m_indikator!$A$2:$F$30,6,TRUE)</f>
        <v>4</v>
      </c>
      <c r="I353" s="15">
        <f t="shared" si="10"/>
        <v>82.6</v>
      </c>
      <c r="J353" t="str">
        <f t="shared" si="11"/>
        <v>update evaluasi set tahun = 1, nilai_maks = 4, nilai_input=82.6, bobot = 4, nilai_akhir = 82.6, id_indikator = 'C020250224' where id_evaluasi = '20250024_C020250504';</v>
      </c>
      <c r="K353" s="14"/>
      <c r="P353" s="12"/>
      <c r="Q353" s="12"/>
    </row>
    <row r="354" spans="1:17" hidden="1" x14ac:dyDescent="0.35">
      <c r="A354" t="s">
        <v>475</v>
      </c>
      <c r="B354" t="s">
        <v>425</v>
      </c>
      <c r="C354" t="s">
        <v>77</v>
      </c>
      <c r="D354" t="s">
        <v>78</v>
      </c>
      <c r="E354" s="1">
        <v>1</v>
      </c>
      <c r="F354" s="1">
        <f>VLOOKUP(C354,m_indikator!$A$2:$F$30,5,TRUE)</f>
        <v>4</v>
      </c>
      <c r="G354" s="15">
        <v>75</v>
      </c>
      <c r="H354" s="1">
        <f>VLOOKUP(C354,m_indikator!$A$2:$F$30,6,TRUE)</f>
        <v>4</v>
      </c>
      <c r="I354" s="15">
        <f t="shared" si="10"/>
        <v>75</v>
      </c>
      <c r="J354" t="str">
        <f t="shared" si="11"/>
        <v>update evaluasi set tahun = 1, nilai_maks = 4, nilai_input=75, bobot = 4, nilai_akhir = 75, id_indikator = 'C020250224' where id_evaluasi = '20250025_C020250504';</v>
      </c>
      <c r="K354" s="14"/>
      <c r="P354" s="12"/>
      <c r="Q354" s="12"/>
    </row>
    <row r="355" spans="1:17" hidden="1" x14ac:dyDescent="0.35">
      <c r="A355" t="s">
        <v>476</v>
      </c>
      <c r="B355" t="s">
        <v>425</v>
      </c>
      <c r="C355" t="s">
        <v>77</v>
      </c>
      <c r="D355" t="s">
        <v>78</v>
      </c>
      <c r="E355" s="1">
        <v>1</v>
      </c>
      <c r="F355" s="1">
        <f>VLOOKUP(C355,m_indikator!$A$2:$F$30,5,TRUE)</f>
        <v>4</v>
      </c>
      <c r="G355" s="15">
        <v>78</v>
      </c>
      <c r="H355" s="1">
        <f>VLOOKUP(C355,m_indikator!$A$2:$F$30,6,TRUE)</f>
        <v>4</v>
      </c>
      <c r="I355" s="15">
        <f t="shared" si="10"/>
        <v>78</v>
      </c>
      <c r="J355" t="str">
        <f t="shared" si="11"/>
        <v>update evaluasi set tahun = 1, nilai_maks = 4, nilai_input=78, bobot = 4, nilai_akhir = 78, id_indikator = 'C020250224' where id_evaluasi = '20250026_C020250504';</v>
      </c>
      <c r="K355" s="14"/>
      <c r="P355" s="12"/>
      <c r="Q355" s="12"/>
    </row>
    <row r="356" spans="1:17" hidden="1" x14ac:dyDescent="0.35">
      <c r="A356" t="s">
        <v>477</v>
      </c>
      <c r="B356" t="s">
        <v>425</v>
      </c>
      <c r="C356" t="s">
        <v>77</v>
      </c>
      <c r="D356" t="s">
        <v>78</v>
      </c>
      <c r="E356" s="1">
        <v>1</v>
      </c>
      <c r="F356" s="1">
        <f>VLOOKUP(C356,m_indikator!$A$2:$F$30,5,TRUE)</f>
        <v>4</v>
      </c>
      <c r="G356" s="15">
        <v>63.6</v>
      </c>
      <c r="H356" s="1">
        <f>VLOOKUP(C356,m_indikator!$A$2:$F$30,6,TRUE)</f>
        <v>4</v>
      </c>
      <c r="I356" s="15">
        <f t="shared" si="10"/>
        <v>63.6</v>
      </c>
      <c r="J356" t="str">
        <f t="shared" si="11"/>
        <v>update evaluasi set tahun = 1, nilai_maks = 4, nilai_input=63.6, bobot = 4, nilai_akhir = 63.6, id_indikator = 'C020250224' where id_evaluasi = '20250027_C020250504';</v>
      </c>
      <c r="K356" s="14"/>
      <c r="P356" s="12"/>
      <c r="Q356" s="12"/>
    </row>
    <row r="357" spans="1:17" hidden="1" x14ac:dyDescent="0.35">
      <c r="A357" t="s">
        <v>478</v>
      </c>
      <c r="B357" t="s">
        <v>425</v>
      </c>
      <c r="C357" t="s">
        <v>77</v>
      </c>
      <c r="D357" t="s">
        <v>78</v>
      </c>
      <c r="E357" s="1">
        <v>1</v>
      </c>
      <c r="F357" s="1">
        <f>VLOOKUP(C357,m_indikator!$A$2:$F$30,5,TRUE)</f>
        <v>4</v>
      </c>
      <c r="G357" s="15">
        <v>74.2</v>
      </c>
      <c r="H357" s="1">
        <f>VLOOKUP(C357,m_indikator!$A$2:$F$30,6,TRUE)</f>
        <v>4</v>
      </c>
      <c r="I357" s="15">
        <f t="shared" si="10"/>
        <v>74.2</v>
      </c>
      <c r="J357" t="str">
        <f t="shared" si="11"/>
        <v>update evaluasi set tahun = 1, nilai_maks = 4, nilai_input=74.2, bobot = 4, nilai_akhir = 74.2, id_indikator = 'C020250224' where id_evaluasi = '20250028_C020250504';</v>
      </c>
      <c r="P357" s="12"/>
      <c r="Q357" s="12"/>
    </row>
    <row r="358" spans="1:17" hidden="1" x14ac:dyDescent="0.35">
      <c r="A358" t="s">
        <v>479</v>
      </c>
      <c r="B358" t="s">
        <v>425</v>
      </c>
      <c r="C358" t="s">
        <v>77</v>
      </c>
      <c r="D358" t="s">
        <v>78</v>
      </c>
      <c r="E358" s="1">
        <v>1</v>
      </c>
      <c r="F358" s="1">
        <f>VLOOKUP(C358,m_indikator!$A$2:$F$30,5,TRUE)</f>
        <v>4</v>
      </c>
      <c r="G358" s="15">
        <v>76.2</v>
      </c>
      <c r="H358" s="1">
        <f>VLOOKUP(C358,m_indikator!$A$2:$F$30,6,TRUE)</f>
        <v>4</v>
      </c>
      <c r="I358" s="15">
        <f t="shared" si="10"/>
        <v>76.2</v>
      </c>
      <c r="J358" t="str">
        <f t="shared" si="11"/>
        <v>update evaluasi set tahun = 1, nilai_maks = 4, nilai_input=76.2, bobot = 4, nilai_akhir = 76.2, id_indikator = 'C020250224' where id_evaluasi = '20250029_C020250504';</v>
      </c>
      <c r="P358" s="12"/>
      <c r="Q358" s="12"/>
    </row>
    <row r="359" spans="1:17" hidden="1" x14ac:dyDescent="0.35">
      <c r="A359" t="s">
        <v>480</v>
      </c>
      <c r="B359" t="s">
        <v>425</v>
      </c>
      <c r="C359" t="s">
        <v>77</v>
      </c>
      <c r="D359" t="s">
        <v>78</v>
      </c>
      <c r="E359" s="1">
        <v>1</v>
      </c>
      <c r="F359" s="1">
        <f>VLOOKUP(C359,m_indikator!$A$2:$F$30,5,TRUE)</f>
        <v>4</v>
      </c>
      <c r="G359" s="15">
        <v>78</v>
      </c>
      <c r="H359" s="1">
        <f>VLOOKUP(C359,m_indikator!$A$2:$F$30,6,TRUE)</f>
        <v>4</v>
      </c>
      <c r="I359" s="15">
        <f t="shared" si="10"/>
        <v>78</v>
      </c>
      <c r="J359" t="str">
        <f t="shared" si="11"/>
        <v>update evaluasi set tahun = 1, nilai_maks = 4, nilai_input=78, bobot = 4, nilai_akhir = 78, id_indikator = 'C020250224' where id_evaluasi = '20250030_C020250504';</v>
      </c>
      <c r="P359" s="12"/>
      <c r="Q359" s="12"/>
    </row>
    <row r="360" spans="1:17" hidden="1" x14ac:dyDescent="0.35">
      <c r="A360" t="s">
        <v>481</v>
      </c>
      <c r="B360" t="s">
        <v>425</v>
      </c>
      <c r="C360" t="s">
        <v>77</v>
      </c>
      <c r="D360" t="s">
        <v>78</v>
      </c>
      <c r="E360" s="1">
        <v>1</v>
      </c>
      <c r="F360" s="1">
        <f>VLOOKUP(C360,m_indikator!$A$2:$F$30,5,TRUE)</f>
        <v>4</v>
      </c>
      <c r="G360" s="15">
        <v>81.2</v>
      </c>
      <c r="H360" s="1">
        <f>VLOOKUP(C360,m_indikator!$A$2:$F$30,6,TRUE)</f>
        <v>4</v>
      </c>
      <c r="I360" s="15">
        <f t="shared" si="10"/>
        <v>81.2</v>
      </c>
      <c r="J360" t="str">
        <f t="shared" si="11"/>
        <v>update evaluasi set tahun = 1, nilai_maks = 4, nilai_input=81.2, bobot = 4, nilai_akhir = 81.2, id_indikator = 'C020250224' where id_evaluasi = '20250031_C020250504';</v>
      </c>
      <c r="P360" s="12"/>
      <c r="Q360" s="12"/>
    </row>
    <row r="361" spans="1:17" hidden="1" x14ac:dyDescent="0.35">
      <c r="A361" t="s">
        <v>482</v>
      </c>
      <c r="B361" t="s">
        <v>425</v>
      </c>
      <c r="C361" t="s">
        <v>77</v>
      </c>
      <c r="D361" t="s">
        <v>78</v>
      </c>
      <c r="E361" s="1">
        <v>1</v>
      </c>
      <c r="F361" s="1">
        <f>VLOOKUP(C361,m_indikator!$A$2:$F$30,5,TRUE)</f>
        <v>4</v>
      </c>
      <c r="G361" s="15">
        <v>77.599999999999994</v>
      </c>
      <c r="H361" s="1">
        <f>VLOOKUP(C361,m_indikator!$A$2:$F$30,6,TRUE)</f>
        <v>4</v>
      </c>
      <c r="I361" s="15">
        <f t="shared" si="10"/>
        <v>77.599999999999994</v>
      </c>
      <c r="J361" t="str">
        <f t="shared" si="11"/>
        <v>update evaluasi set tahun = 1, nilai_maks = 4, nilai_input=77.6, bobot = 4, nilai_akhir = 77.6, id_indikator = 'C020250224' where id_evaluasi = '20250032_C020250504';</v>
      </c>
      <c r="P361" s="12"/>
      <c r="Q361" s="12"/>
    </row>
    <row r="362" spans="1:17" hidden="1" x14ac:dyDescent="0.35">
      <c r="A362" t="s">
        <v>483</v>
      </c>
      <c r="B362" t="s">
        <v>425</v>
      </c>
      <c r="C362" t="s">
        <v>77</v>
      </c>
      <c r="D362" t="s">
        <v>78</v>
      </c>
      <c r="E362" s="1">
        <v>1</v>
      </c>
      <c r="F362" s="1">
        <f>VLOOKUP(C362,m_indikator!$A$2:$F$30,5,TRUE)</f>
        <v>4</v>
      </c>
      <c r="G362" s="15">
        <v>82.6</v>
      </c>
      <c r="H362" s="1">
        <f>VLOOKUP(C362,m_indikator!$A$2:$F$30,6,TRUE)</f>
        <v>4</v>
      </c>
      <c r="I362" s="15">
        <f t="shared" si="10"/>
        <v>82.6</v>
      </c>
      <c r="J362" t="str">
        <f t="shared" si="11"/>
        <v>update evaluasi set tahun = 1, nilai_maks = 4, nilai_input=82.6, bobot = 4, nilai_akhir = 82.6, id_indikator = 'C020250224' where id_evaluasi = '20250033_C020250504';</v>
      </c>
      <c r="K362" s="14"/>
      <c r="P362" s="12"/>
      <c r="Q362" s="12"/>
    </row>
    <row r="363" spans="1:17" hidden="1" x14ac:dyDescent="0.35">
      <c r="A363" t="s">
        <v>484</v>
      </c>
      <c r="B363" t="s">
        <v>425</v>
      </c>
      <c r="C363" t="s">
        <v>77</v>
      </c>
      <c r="D363" t="s">
        <v>78</v>
      </c>
      <c r="E363" s="1">
        <v>1</v>
      </c>
      <c r="F363" s="1">
        <f>VLOOKUP(C363,m_indikator!$A$2:$F$30,5,TRUE)</f>
        <v>4</v>
      </c>
      <c r="G363" s="15">
        <v>74.2</v>
      </c>
      <c r="H363" s="1">
        <f>VLOOKUP(C363,m_indikator!$A$2:$F$30,6,TRUE)</f>
        <v>4</v>
      </c>
      <c r="I363" s="15">
        <f t="shared" si="10"/>
        <v>74.2</v>
      </c>
      <c r="J363" t="str">
        <f t="shared" si="11"/>
        <v>update evaluasi set tahun = 1, nilai_maks = 4, nilai_input=74.2, bobot = 4, nilai_akhir = 74.2, id_indikator = 'C020250224' where id_evaluasi = '20250034_C020250504';</v>
      </c>
      <c r="K363" s="14"/>
      <c r="P363" s="12"/>
      <c r="Q363" s="12"/>
    </row>
    <row r="364" spans="1:17" hidden="1" x14ac:dyDescent="0.35">
      <c r="A364" t="s">
        <v>485</v>
      </c>
      <c r="B364" t="s">
        <v>425</v>
      </c>
      <c r="C364" t="s">
        <v>77</v>
      </c>
      <c r="D364" t="s">
        <v>78</v>
      </c>
      <c r="E364" s="1">
        <v>1</v>
      </c>
      <c r="F364" s="1">
        <f>VLOOKUP(C364,m_indikator!$A$2:$F$30,5,TRUE)</f>
        <v>4</v>
      </c>
      <c r="G364" s="15">
        <v>71.8</v>
      </c>
      <c r="H364" s="1">
        <f>VLOOKUP(C364,m_indikator!$A$2:$F$30,6,TRUE)</f>
        <v>4</v>
      </c>
      <c r="I364" s="15">
        <f t="shared" si="10"/>
        <v>71.8</v>
      </c>
      <c r="J364" t="str">
        <f t="shared" si="11"/>
        <v>update evaluasi set tahun = 1, nilai_maks = 4, nilai_input=71.8, bobot = 4, nilai_akhir = 71.8, id_indikator = 'C020250224' where id_evaluasi = '20250035_C020250504';</v>
      </c>
      <c r="P364" s="12"/>
      <c r="Q364" s="12"/>
    </row>
    <row r="365" spans="1:17" hidden="1" x14ac:dyDescent="0.35">
      <c r="A365" t="s">
        <v>486</v>
      </c>
      <c r="B365" t="s">
        <v>425</v>
      </c>
      <c r="C365" t="s">
        <v>77</v>
      </c>
      <c r="D365" t="s">
        <v>78</v>
      </c>
      <c r="E365" s="1">
        <v>1</v>
      </c>
      <c r="F365" s="1">
        <f>VLOOKUP(C365,m_indikator!$A$2:$F$30,5,TRUE)</f>
        <v>4</v>
      </c>
      <c r="G365" s="15">
        <v>73</v>
      </c>
      <c r="H365" s="1">
        <f>VLOOKUP(C365,m_indikator!$A$2:$F$30,6,TRUE)</f>
        <v>4</v>
      </c>
      <c r="I365" s="15">
        <f t="shared" si="10"/>
        <v>73</v>
      </c>
      <c r="J365" t="str">
        <f t="shared" si="11"/>
        <v>update evaluasi set tahun = 1, nilai_maks = 4, nilai_input=73, bobot = 4, nilai_akhir = 73, id_indikator = 'C020250224' where id_evaluasi = '20250036_C020250504';</v>
      </c>
      <c r="P365" s="12"/>
      <c r="Q365" s="12"/>
    </row>
    <row r="366" spans="1:17" hidden="1" x14ac:dyDescent="0.35">
      <c r="A366" t="s">
        <v>487</v>
      </c>
      <c r="B366" t="s">
        <v>425</v>
      </c>
      <c r="C366" t="s">
        <v>77</v>
      </c>
      <c r="D366" t="s">
        <v>78</v>
      </c>
      <c r="E366" s="1">
        <v>1</v>
      </c>
      <c r="F366" s="1">
        <f>VLOOKUP(C366,m_indikator!$A$2:$F$30,5,TRUE)</f>
        <v>4</v>
      </c>
      <c r="G366" s="15">
        <v>81.400000000000006</v>
      </c>
      <c r="H366" s="1">
        <f>VLOOKUP(C366,m_indikator!$A$2:$F$30,6,TRUE)</f>
        <v>4</v>
      </c>
      <c r="I366" s="15">
        <f t="shared" si="10"/>
        <v>81.400000000000006</v>
      </c>
      <c r="J366" t="str">
        <f t="shared" si="11"/>
        <v>update evaluasi set tahun = 1, nilai_maks = 4, nilai_input=81.4, bobot = 4, nilai_akhir = 81.4, id_indikator = 'C020250224' where id_evaluasi = '20250037_C020250504';</v>
      </c>
      <c r="P366" s="12"/>
      <c r="Q366" s="12"/>
    </row>
    <row r="367" spans="1:17" hidden="1" x14ac:dyDescent="0.35">
      <c r="A367" t="s">
        <v>488</v>
      </c>
      <c r="B367" t="s">
        <v>425</v>
      </c>
      <c r="C367" t="s">
        <v>77</v>
      </c>
      <c r="D367" t="s">
        <v>78</v>
      </c>
      <c r="E367" s="1">
        <v>1</v>
      </c>
      <c r="F367" s="1">
        <f>VLOOKUP(C367,m_indikator!$A$2:$F$30,5,TRUE)</f>
        <v>4</v>
      </c>
      <c r="G367" s="15">
        <v>81.599999999999994</v>
      </c>
      <c r="H367" s="1">
        <f>VLOOKUP(C367,m_indikator!$A$2:$F$30,6,TRUE)</f>
        <v>4</v>
      </c>
      <c r="I367" s="15">
        <f t="shared" si="10"/>
        <v>81.599999999999994</v>
      </c>
      <c r="J367" t="str">
        <f t="shared" si="11"/>
        <v>update evaluasi set tahun = 1, nilai_maks = 4, nilai_input=81.6, bobot = 4, nilai_akhir = 81.6, id_indikator = 'C020250224' where id_evaluasi = '20250038_C020250504';</v>
      </c>
      <c r="K367" s="14"/>
      <c r="P367" s="12"/>
      <c r="Q367" s="12"/>
    </row>
    <row r="368" spans="1:17" hidden="1" x14ac:dyDescent="0.35">
      <c r="A368" t="s">
        <v>424</v>
      </c>
      <c r="B368" t="s">
        <v>425</v>
      </c>
      <c r="C368" t="s">
        <v>77</v>
      </c>
      <c r="D368" t="s">
        <v>78</v>
      </c>
      <c r="E368" s="1">
        <v>1</v>
      </c>
      <c r="F368" s="1">
        <f>VLOOKUP(C368,m_indikator!$A$2:$F$30,5,TRUE)</f>
        <v>4</v>
      </c>
      <c r="G368" s="15">
        <v>78.8</v>
      </c>
      <c r="H368" s="1">
        <f>VLOOKUP(C368,m_indikator!$A$2:$F$30,6,TRUE)</f>
        <v>4</v>
      </c>
      <c r="I368" s="15">
        <f t="shared" si="10"/>
        <v>78.8</v>
      </c>
      <c r="J368" t="str">
        <f t="shared" si="11"/>
        <v>update evaluasi set tahun = 1, nilai_maks = 4, nilai_input=78.8, bobot = 4, nilai_akhir = 78.8, id_indikator = 'C020250224' where id_evaluasi = '20250039_C020250504';</v>
      </c>
      <c r="P368" s="12"/>
      <c r="Q368" s="12"/>
    </row>
    <row r="369" spans="1:17" hidden="1" x14ac:dyDescent="0.35">
      <c r="A369" t="s">
        <v>426</v>
      </c>
      <c r="B369" t="s">
        <v>425</v>
      </c>
      <c r="C369" t="s">
        <v>77</v>
      </c>
      <c r="D369" t="s">
        <v>78</v>
      </c>
      <c r="E369" s="1">
        <v>1</v>
      </c>
      <c r="F369" s="1">
        <f>VLOOKUP(C369,m_indikator!$A$2:$F$30,5,TRUE)</f>
        <v>4</v>
      </c>
      <c r="G369" s="15">
        <v>85.6</v>
      </c>
      <c r="H369" s="1">
        <f>VLOOKUP(C369,m_indikator!$A$2:$F$30,6,TRUE)</f>
        <v>4</v>
      </c>
      <c r="I369" s="15">
        <f t="shared" si="10"/>
        <v>85.6</v>
      </c>
      <c r="J369" t="str">
        <f t="shared" si="11"/>
        <v>update evaluasi set tahun = 1, nilai_maks = 4, nilai_input=85.6, bobot = 4, nilai_akhir = 85.6, id_indikator = 'C020250224' where id_evaluasi = '20250040_C020250504';</v>
      </c>
      <c r="K369" s="14"/>
      <c r="P369" s="12"/>
      <c r="Q369" s="12"/>
    </row>
    <row r="370" spans="1:17" hidden="1" x14ac:dyDescent="0.35">
      <c r="A370" t="s">
        <v>427</v>
      </c>
      <c r="B370" t="s">
        <v>425</v>
      </c>
      <c r="C370" t="s">
        <v>77</v>
      </c>
      <c r="D370" t="s">
        <v>78</v>
      </c>
      <c r="E370" s="1">
        <v>1</v>
      </c>
      <c r="F370" s="1">
        <f>VLOOKUP(C370,m_indikator!$A$2:$F$30,5,TRUE)</f>
        <v>4</v>
      </c>
      <c r="G370" s="15">
        <v>79.8</v>
      </c>
      <c r="H370" s="1">
        <f>VLOOKUP(C370,m_indikator!$A$2:$F$30,6,TRUE)</f>
        <v>4</v>
      </c>
      <c r="I370" s="15">
        <f t="shared" si="10"/>
        <v>79.8</v>
      </c>
      <c r="J370" t="str">
        <f t="shared" si="11"/>
        <v>update evaluasi set tahun = 1, nilai_maks = 4, nilai_input=79.8, bobot = 4, nilai_akhir = 79.8, id_indikator = 'C020250224' where id_evaluasi = '20250041_C020250504';</v>
      </c>
      <c r="P370" s="12"/>
      <c r="Q370" s="12"/>
    </row>
    <row r="371" spans="1:17" hidden="1" x14ac:dyDescent="0.35">
      <c r="A371" t="s">
        <v>428</v>
      </c>
      <c r="B371" t="s">
        <v>425</v>
      </c>
      <c r="C371" t="s">
        <v>77</v>
      </c>
      <c r="D371" t="s">
        <v>78</v>
      </c>
      <c r="E371" s="1">
        <v>1</v>
      </c>
      <c r="F371" s="1">
        <f>VLOOKUP(C371,m_indikator!$A$2:$F$30,5,TRUE)</f>
        <v>4</v>
      </c>
      <c r="G371" s="15">
        <v>83</v>
      </c>
      <c r="H371" s="1">
        <f>VLOOKUP(C371,m_indikator!$A$2:$F$30,6,TRUE)</f>
        <v>4</v>
      </c>
      <c r="I371" s="15">
        <f t="shared" si="10"/>
        <v>83</v>
      </c>
      <c r="J371" t="str">
        <f t="shared" si="11"/>
        <v>update evaluasi set tahun = 1, nilai_maks = 4, nilai_input=83, bobot = 4, nilai_akhir = 83, id_indikator = 'C020250224' where id_evaluasi = '20250042_C020250504';</v>
      </c>
      <c r="P371" s="12"/>
      <c r="Q371" s="12"/>
    </row>
    <row r="372" spans="1:17" hidden="1" x14ac:dyDescent="0.35">
      <c r="A372" t="s">
        <v>429</v>
      </c>
      <c r="B372" t="s">
        <v>425</v>
      </c>
      <c r="C372" t="s">
        <v>77</v>
      </c>
      <c r="D372" t="s">
        <v>78</v>
      </c>
      <c r="E372" s="1">
        <v>1</v>
      </c>
      <c r="F372" s="1">
        <f>VLOOKUP(C372,m_indikator!$A$2:$F$30,5,TRUE)</f>
        <v>4</v>
      </c>
      <c r="G372" s="15">
        <v>82</v>
      </c>
      <c r="H372" s="1">
        <f>VLOOKUP(C372,m_indikator!$A$2:$F$30,6,TRUE)</f>
        <v>4</v>
      </c>
      <c r="I372" s="15">
        <f t="shared" si="10"/>
        <v>82</v>
      </c>
      <c r="J372" t="str">
        <f t="shared" si="11"/>
        <v>update evaluasi set tahun = 1, nilai_maks = 4, nilai_input=82, bobot = 4, nilai_akhir = 82, id_indikator = 'C020250224' where id_evaluasi = '20250043_C020250504';</v>
      </c>
      <c r="K372" s="14"/>
      <c r="P372" s="12"/>
      <c r="Q372" s="12"/>
    </row>
    <row r="373" spans="1:17" hidden="1" x14ac:dyDescent="0.35">
      <c r="A373" t="s">
        <v>430</v>
      </c>
      <c r="B373" t="s">
        <v>425</v>
      </c>
      <c r="C373" t="s">
        <v>77</v>
      </c>
      <c r="D373" t="s">
        <v>78</v>
      </c>
      <c r="E373" s="1">
        <v>1</v>
      </c>
      <c r="F373" s="1">
        <f>VLOOKUP(C373,m_indikator!$A$2:$F$30,5,TRUE)</f>
        <v>4</v>
      </c>
      <c r="G373" s="15">
        <v>83.2</v>
      </c>
      <c r="H373" s="1">
        <f>VLOOKUP(C373,m_indikator!$A$2:$F$30,6,TRUE)</f>
        <v>4</v>
      </c>
      <c r="I373" s="15">
        <f t="shared" si="10"/>
        <v>83.2</v>
      </c>
      <c r="J373" t="str">
        <f t="shared" si="11"/>
        <v>update evaluasi set tahun = 1, nilai_maks = 4, nilai_input=83.2, bobot = 4, nilai_akhir = 83.2, id_indikator = 'C020250224' where id_evaluasi = '20250044_C020250504';</v>
      </c>
      <c r="P373" s="12"/>
      <c r="Q373" s="12"/>
    </row>
    <row r="374" spans="1:17" hidden="1" x14ac:dyDescent="0.35">
      <c r="A374" t="s">
        <v>431</v>
      </c>
      <c r="B374" t="s">
        <v>425</v>
      </c>
      <c r="C374" t="s">
        <v>77</v>
      </c>
      <c r="D374" t="s">
        <v>78</v>
      </c>
      <c r="E374" s="1">
        <v>1</v>
      </c>
      <c r="F374" s="1">
        <f>VLOOKUP(C374,m_indikator!$A$2:$F$30,5,TRUE)</f>
        <v>4</v>
      </c>
      <c r="G374" s="15">
        <v>76.2</v>
      </c>
      <c r="H374" s="1">
        <f>VLOOKUP(C374,m_indikator!$A$2:$F$30,6,TRUE)</f>
        <v>4</v>
      </c>
      <c r="I374" s="15">
        <f t="shared" si="10"/>
        <v>76.2</v>
      </c>
      <c r="J374" t="str">
        <f t="shared" si="11"/>
        <v>update evaluasi set tahun = 1, nilai_maks = 4, nilai_input=76.2, bobot = 4, nilai_akhir = 76.2, id_indikator = 'C020250224' where id_evaluasi = '20250045_C020250504';</v>
      </c>
      <c r="K374" s="14"/>
      <c r="P374" s="12"/>
      <c r="Q374" s="12"/>
    </row>
    <row r="375" spans="1:17" hidden="1" x14ac:dyDescent="0.35">
      <c r="A375" t="s">
        <v>432</v>
      </c>
      <c r="B375" t="s">
        <v>425</v>
      </c>
      <c r="C375" t="s">
        <v>77</v>
      </c>
      <c r="D375" t="s">
        <v>78</v>
      </c>
      <c r="E375" s="1">
        <v>1</v>
      </c>
      <c r="F375" s="1">
        <f>VLOOKUP(C375,m_indikator!$A$2:$F$30,5,TRUE)</f>
        <v>4</v>
      </c>
      <c r="G375" s="15">
        <v>81</v>
      </c>
      <c r="H375" s="1">
        <f>VLOOKUP(C375,m_indikator!$A$2:$F$30,6,TRUE)</f>
        <v>4</v>
      </c>
      <c r="I375" s="15">
        <f t="shared" si="10"/>
        <v>81</v>
      </c>
      <c r="J375" t="str">
        <f t="shared" si="11"/>
        <v>update evaluasi set tahun = 1, nilai_maks = 4, nilai_input=81, bobot = 4, nilai_akhir = 81, id_indikator = 'C020250224' where id_evaluasi = '20250046_C020250504';</v>
      </c>
      <c r="P375" s="12"/>
      <c r="Q375" s="12"/>
    </row>
    <row r="376" spans="1:17" hidden="1" x14ac:dyDescent="0.35">
      <c r="A376" t="s">
        <v>433</v>
      </c>
      <c r="B376" t="s">
        <v>425</v>
      </c>
      <c r="C376" t="s">
        <v>77</v>
      </c>
      <c r="D376" t="s">
        <v>78</v>
      </c>
      <c r="E376" s="1">
        <v>1</v>
      </c>
      <c r="F376" s="1">
        <f>VLOOKUP(C376,m_indikator!$A$2:$F$30,5,TRUE)</f>
        <v>4</v>
      </c>
      <c r="G376" s="15">
        <v>84</v>
      </c>
      <c r="H376" s="1">
        <f>VLOOKUP(C376,m_indikator!$A$2:$F$30,6,TRUE)</f>
        <v>4</v>
      </c>
      <c r="I376" s="15">
        <f t="shared" si="10"/>
        <v>84</v>
      </c>
      <c r="J376" t="str">
        <f t="shared" si="11"/>
        <v>update evaluasi set tahun = 1, nilai_maks = 4, nilai_input=84, bobot = 4, nilai_akhir = 84, id_indikator = 'C020250224' where id_evaluasi = '20250047_C020250504';</v>
      </c>
      <c r="P376" s="12"/>
      <c r="Q376" s="12"/>
    </row>
    <row r="377" spans="1:17" hidden="1" x14ac:dyDescent="0.35">
      <c r="A377" t="s">
        <v>434</v>
      </c>
      <c r="B377" t="s">
        <v>425</v>
      </c>
      <c r="C377" t="s">
        <v>77</v>
      </c>
      <c r="D377" t="s">
        <v>78</v>
      </c>
      <c r="E377" s="1">
        <v>1</v>
      </c>
      <c r="F377" s="1">
        <f>VLOOKUP(C377,m_indikator!$A$2:$F$30,5,TRUE)</f>
        <v>4</v>
      </c>
      <c r="G377" s="15">
        <v>83.2</v>
      </c>
      <c r="H377" s="1">
        <f>VLOOKUP(C377,m_indikator!$A$2:$F$30,6,TRUE)</f>
        <v>4</v>
      </c>
      <c r="I377" s="15">
        <f t="shared" si="10"/>
        <v>83.2</v>
      </c>
      <c r="J377" t="str">
        <f t="shared" si="11"/>
        <v>update evaluasi set tahun = 1, nilai_maks = 4, nilai_input=83.2, bobot = 4, nilai_akhir = 83.2, id_indikator = 'C020250224' where id_evaluasi = '20250048_C020250504';</v>
      </c>
      <c r="K377" s="14"/>
      <c r="P377" s="12"/>
      <c r="Q377" s="12"/>
    </row>
    <row r="378" spans="1:17" hidden="1" x14ac:dyDescent="0.35">
      <c r="A378" t="s">
        <v>435</v>
      </c>
      <c r="B378" t="s">
        <v>425</v>
      </c>
      <c r="C378" t="s">
        <v>77</v>
      </c>
      <c r="D378" t="s">
        <v>78</v>
      </c>
      <c r="E378" s="1">
        <v>1</v>
      </c>
      <c r="F378" s="1">
        <f>VLOOKUP(C378,m_indikator!$A$2:$F$30,5,TRUE)</f>
        <v>4</v>
      </c>
      <c r="G378" s="15">
        <v>73.599999999999994</v>
      </c>
      <c r="H378" s="1">
        <f>VLOOKUP(C378,m_indikator!$A$2:$F$30,6,TRUE)</f>
        <v>4</v>
      </c>
      <c r="I378" s="15">
        <f t="shared" si="10"/>
        <v>73.599999999999994</v>
      </c>
      <c r="J378" t="str">
        <f t="shared" si="11"/>
        <v>update evaluasi set tahun = 1, nilai_maks = 4, nilai_input=73.6, bobot = 4, nilai_akhir = 73.6, id_indikator = 'C020250224' where id_evaluasi = '20250049_C020250504';</v>
      </c>
      <c r="K378" s="14"/>
      <c r="P378" s="12"/>
      <c r="Q378" s="12"/>
    </row>
    <row r="379" spans="1:17" hidden="1" x14ac:dyDescent="0.35">
      <c r="A379" t="s">
        <v>436</v>
      </c>
      <c r="B379" t="s">
        <v>425</v>
      </c>
      <c r="C379" t="s">
        <v>77</v>
      </c>
      <c r="D379" t="s">
        <v>78</v>
      </c>
      <c r="E379" s="1">
        <v>1</v>
      </c>
      <c r="F379" s="1">
        <f>VLOOKUP(C379,m_indikator!$A$2:$F$30,5,TRUE)</f>
        <v>4</v>
      </c>
      <c r="G379" s="15">
        <v>82.2</v>
      </c>
      <c r="H379" s="1">
        <f>VLOOKUP(C379,m_indikator!$A$2:$F$30,6,TRUE)</f>
        <v>4</v>
      </c>
      <c r="I379" s="15">
        <f t="shared" si="10"/>
        <v>82.2</v>
      </c>
      <c r="J379" t="str">
        <f t="shared" si="11"/>
        <v>update evaluasi set tahun = 1, nilai_maks = 4, nilai_input=82.2, bobot = 4, nilai_akhir = 82.2, id_indikator = 'C020250224' where id_evaluasi = '20250050_C020250504';</v>
      </c>
      <c r="K379" s="14"/>
      <c r="P379" s="12"/>
      <c r="Q379" s="12"/>
    </row>
    <row r="380" spans="1:17" hidden="1" x14ac:dyDescent="0.35">
      <c r="A380" t="s">
        <v>437</v>
      </c>
      <c r="B380" t="s">
        <v>425</v>
      </c>
      <c r="C380" t="s">
        <v>77</v>
      </c>
      <c r="D380" t="s">
        <v>78</v>
      </c>
      <c r="E380" s="1">
        <v>1</v>
      </c>
      <c r="F380" s="1">
        <f>VLOOKUP(C380,m_indikator!$A$2:$F$30,5,TRUE)</f>
        <v>4</v>
      </c>
      <c r="G380" s="15">
        <v>84</v>
      </c>
      <c r="H380" s="1">
        <f>VLOOKUP(C380,m_indikator!$A$2:$F$30,6,TRUE)</f>
        <v>4</v>
      </c>
      <c r="I380" s="15">
        <f t="shared" si="10"/>
        <v>84</v>
      </c>
      <c r="J380" t="str">
        <f t="shared" si="11"/>
        <v>update evaluasi set tahun = 1, nilai_maks = 4, nilai_input=84, bobot = 4, nilai_akhir = 84, id_indikator = 'C020250224' where id_evaluasi = '20250051_C020250504';</v>
      </c>
      <c r="P380" s="12"/>
      <c r="Q380" s="12"/>
    </row>
    <row r="381" spans="1:17" hidden="1" x14ac:dyDescent="0.35">
      <c r="A381" t="s">
        <v>438</v>
      </c>
      <c r="B381" t="s">
        <v>425</v>
      </c>
      <c r="C381" t="s">
        <v>77</v>
      </c>
      <c r="D381" t="s">
        <v>78</v>
      </c>
      <c r="E381" s="1">
        <v>1</v>
      </c>
      <c r="F381" s="1">
        <f>VLOOKUP(C381,m_indikator!$A$2:$F$30,5,TRUE)</f>
        <v>4</v>
      </c>
      <c r="G381" s="15">
        <v>76.8</v>
      </c>
      <c r="H381" s="1">
        <f>VLOOKUP(C381,m_indikator!$A$2:$F$30,6,TRUE)</f>
        <v>4</v>
      </c>
      <c r="I381" s="15">
        <f t="shared" si="10"/>
        <v>76.8</v>
      </c>
      <c r="J381" t="str">
        <f t="shared" si="11"/>
        <v>update evaluasi set tahun = 1, nilai_maks = 4, nilai_input=76.8, bobot = 4, nilai_akhir = 76.8, id_indikator = 'C020250224' where id_evaluasi = '20250052_C020250504';</v>
      </c>
      <c r="P381" s="12"/>
      <c r="Q381" s="12"/>
    </row>
    <row r="382" spans="1:17" hidden="1" x14ac:dyDescent="0.35">
      <c r="A382" t="s">
        <v>439</v>
      </c>
      <c r="B382" t="s">
        <v>425</v>
      </c>
      <c r="C382" t="s">
        <v>77</v>
      </c>
      <c r="D382" t="s">
        <v>78</v>
      </c>
      <c r="E382" s="1">
        <v>1</v>
      </c>
      <c r="F382" s="1">
        <f>VLOOKUP(C382,m_indikator!$A$2:$F$30,5,TRUE)</f>
        <v>4</v>
      </c>
      <c r="G382" s="15">
        <v>77.400000000000006</v>
      </c>
      <c r="H382" s="1">
        <f>VLOOKUP(C382,m_indikator!$A$2:$F$30,6,TRUE)</f>
        <v>4</v>
      </c>
      <c r="I382" s="15">
        <f t="shared" si="10"/>
        <v>77.400000000000006</v>
      </c>
      <c r="J382" t="str">
        <f t="shared" si="11"/>
        <v>update evaluasi set tahun = 1, nilai_maks = 4, nilai_input=77.4, bobot = 4, nilai_akhir = 77.4, id_indikator = 'C020250224' where id_evaluasi = '20250053_C020250504';</v>
      </c>
      <c r="K382" s="14"/>
      <c r="P382" s="12"/>
      <c r="Q382" s="12"/>
    </row>
    <row r="383" spans="1:17" hidden="1" x14ac:dyDescent="0.35">
      <c r="A383" t="s">
        <v>440</v>
      </c>
      <c r="B383" t="s">
        <v>425</v>
      </c>
      <c r="C383" t="s">
        <v>77</v>
      </c>
      <c r="D383" t="s">
        <v>78</v>
      </c>
      <c r="E383" s="1">
        <v>1</v>
      </c>
      <c r="F383" s="1">
        <f>VLOOKUP(C383,m_indikator!$A$2:$F$30,5,TRUE)</f>
        <v>4</v>
      </c>
      <c r="G383" s="15">
        <v>78.599999999999994</v>
      </c>
      <c r="H383" s="1">
        <f>VLOOKUP(C383,m_indikator!$A$2:$F$30,6,TRUE)</f>
        <v>4</v>
      </c>
      <c r="I383" s="15">
        <f t="shared" si="10"/>
        <v>78.599999999999994</v>
      </c>
      <c r="J383" t="str">
        <f t="shared" si="11"/>
        <v>update evaluasi set tahun = 1, nilai_maks = 4, nilai_input=78.6, bobot = 4, nilai_akhir = 78.6, id_indikator = 'C020250224' where id_evaluasi = '20250054_C020250504';</v>
      </c>
      <c r="K383" s="14"/>
      <c r="P383" s="12"/>
      <c r="Q383" s="12"/>
    </row>
    <row r="384" spans="1:17" hidden="1" x14ac:dyDescent="0.35">
      <c r="A384" t="s">
        <v>441</v>
      </c>
      <c r="B384" t="s">
        <v>425</v>
      </c>
      <c r="C384" t="s">
        <v>77</v>
      </c>
      <c r="D384" t="s">
        <v>78</v>
      </c>
      <c r="E384" s="1">
        <v>1</v>
      </c>
      <c r="F384" s="1">
        <f>VLOOKUP(C384,m_indikator!$A$2:$F$30,5,TRUE)</f>
        <v>4</v>
      </c>
      <c r="G384" s="15">
        <v>87.2</v>
      </c>
      <c r="H384" s="1">
        <f>VLOOKUP(C384,m_indikator!$A$2:$F$30,6,TRUE)</f>
        <v>4</v>
      </c>
      <c r="I384" s="15">
        <f t="shared" si="10"/>
        <v>87.2</v>
      </c>
      <c r="J384" t="str">
        <f t="shared" si="11"/>
        <v>update evaluasi set tahun = 1, nilai_maks = 4, nilai_input=87.2, bobot = 4, nilai_akhir = 87.2, id_indikator = 'C020250224' where id_evaluasi = '20250055_C020250504';</v>
      </c>
      <c r="K384" s="14"/>
      <c r="P384" s="12"/>
      <c r="Q384" s="12"/>
    </row>
    <row r="385" spans="1:17" hidden="1" x14ac:dyDescent="0.35">
      <c r="A385" t="s">
        <v>442</v>
      </c>
      <c r="B385" t="s">
        <v>425</v>
      </c>
      <c r="C385" t="s">
        <v>77</v>
      </c>
      <c r="D385" t="s">
        <v>78</v>
      </c>
      <c r="E385" s="1">
        <v>1</v>
      </c>
      <c r="F385" s="1">
        <f>VLOOKUP(C385,m_indikator!$A$2:$F$30,5,TRUE)</f>
        <v>4</v>
      </c>
      <c r="G385" s="15">
        <v>75.2</v>
      </c>
      <c r="H385" s="1">
        <f>VLOOKUP(C385,m_indikator!$A$2:$F$30,6,TRUE)</f>
        <v>4</v>
      </c>
      <c r="I385" s="15">
        <f t="shared" si="10"/>
        <v>75.2</v>
      </c>
      <c r="J385" t="str">
        <f t="shared" si="11"/>
        <v>update evaluasi set tahun = 1, nilai_maks = 4, nilai_input=75.2, bobot = 4, nilai_akhir = 75.2, id_indikator = 'C020250224' where id_evaluasi = '20250095_C020250504';</v>
      </c>
      <c r="P385" s="12"/>
      <c r="Q385" s="12"/>
    </row>
    <row r="386" spans="1:17" hidden="1" x14ac:dyDescent="0.35">
      <c r="A386" t="s">
        <v>443</v>
      </c>
      <c r="B386" t="s">
        <v>425</v>
      </c>
      <c r="C386" t="s">
        <v>77</v>
      </c>
      <c r="D386" t="s">
        <v>78</v>
      </c>
      <c r="E386" s="1">
        <v>1</v>
      </c>
      <c r="F386" s="1">
        <f>VLOOKUP(C386,m_indikator!$A$2:$F$30,5,TRUE)</f>
        <v>4</v>
      </c>
      <c r="G386" s="15">
        <v>80.2</v>
      </c>
      <c r="H386" s="1">
        <f>VLOOKUP(C386,m_indikator!$A$2:$F$30,6,TRUE)</f>
        <v>4</v>
      </c>
      <c r="I386" s="15">
        <f t="shared" ref="I386:I449" si="12">(G386/F386)*H386</f>
        <v>80.2</v>
      </c>
      <c r="J386" t="str">
        <f t="shared" ref="J386:J449" si="13">"update evaluasi set tahun = "&amp;E386&amp;", nilai_maks = "&amp;F386&amp;", nilai_input="&amp;G386&amp;", bobot = "&amp;H386&amp;", nilai_akhir = "&amp;I386&amp;", id_indikator = '"&amp;C386&amp;"' where id_evaluasi = '"&amp;A386&amp;"';"</f>
        <v>update evaluasi set tahun = 1, nilai_maks = 4, nilai_input=80.2, bobot = 4, nilai_akhir = 80.2, id_indikator = 'C020250224' where id_evaluasi = '20250103_C020250504';</v>
      </c>
      <c r="K386" s="14"/>
      <c r="P386" s="12"/>
      <c r="Q386" s="12"/>
    </row>
    <row r="387" spans="1:17" hidden="1" x14ac:dyDescent="0.35">
      <c r="A387" t="s">
        <v>444</v>
      </c>
      <c r="B387" t="s">
        <v>425</v>
      </c>
      <c r="C387" t="s">
        <v>77</v>
      </c>
      <c r="D387" t="s">
        <v>78</v>
      </c>
      <c r="E387" s="1">
        <v>1</v>
      </c>
      <c r="F387" s="1">
        <f>VLOOKUP(C387,m_indikator!$A$2:$F$30,5,TRUE)</f>
        <v>4</v>
      </c>
      <c r="G387" s="15">
        <v>81.8</v>
      </c>
      <c r="H387" s="1">
        <f>VLOOKUP(C387,m_indikator!$A$2:$F$30,6,TRUE)</f>
        <v>4</v>
      </c>
      <c r="I387" s="15">
        <f t="shared" si="12"/>
        <v>81.8</v>
      </c>
      <c r="J387" t="str">
        <f t="shared" si="13"/>
        <v>update evaluasi set tahun = 1, nilai_maks = 4, nilai_input=81.8, bobot = 4, nilai_akhir = 81.8, id_indikator = 'C020250224' where id_evaluasi = '20250104_C020250504';</v>
      </c>
      <c r="K387" s="14"/>
      <c r="P387" s="12"/>
      <c r="Q387" s="12"/>
    </row>
    <row r="388" spans="1:17" hidden="1" x14ac:dyDescent="0.35">
      <c r="A388" t="s">
        <v>445</v>
      </c>
      <c r="B388" t="s">
        <v>425</v>
      </c>
      <c r="C388" t="s">
        <v>77</v>
      </c>
      <c r="D388" t="s">
        <v>78</v>
      </c>
      <c r="E388" s="1">
        <v>1</v>
      </c>
      <c r="F388" s="1">
        <f>VLOOKUP(C388,m_indikator!$A$2:$F$30,5,TRUE)</f>
        <v>4</v>
      </c>
      <c r="G388" s="15">
        <v>82.2</v>
      </c>
      <c r="H388" s="1">
        <f>VLOOKUP(C388,m_indikator!$A$2:$F$30,6,TRUE)</f>
        <v>4</v>
      </c>
      <c r="I388" s="15">
        <f t="shared" si="12"/>
        <v>82.2</v>
      </c>
      <c r="J388" t="str">
        <f t="shared" si="13"/>
        <v>update evaluasi set tahun = 1, nilai_maks = 4, nilai_input=82.2, bobot = 4, nilai_akhir = 82.2, id_indikator = 'C020250224' where id_evaluasi = '20250105_C020250504';</v>
      </c>
      <c r="K388" s="14"/>
      <c r="P388" s="12"/>
      <c r="Q388" s="12"/>
    </row>
    <row r="389" spans="1:17" hidden="1" x14ac:dyDescent="0.35">
      <c r="A389" t="s">
        <v>446</v>
      </c>
      <c r="B389" t="s">
        <v>425</v>
      </c>
      <c r="C389" t="s">
        <v>77</v>
      </c>
      <c r="D389" t="s">
        <v>78</v>
      </c>
      <c r="E389" s="1">
        <v>1</v>
      </c>
      <c r="F389" s="1">
        <f>VLOOKUP(C389,m_indikator!$A$2:$F$30,5,TRUE)</f>
        <v>4</v>
      </c>
      <c r="G389" s="15">
        <v>83.2</v>
      </c>
      <c r="H389" s="1">
        <f>VLOOKUP(C389,m_indikator!$A$2:$F$30,6,TRUE)</f>
        <v>4</v>
      </c>
      <c r="I389" s="15">
        <f t="shared" si="12"/>
        <v>83.2</v>
      </c>
      <c r="J389" t="str">
        <f t="shared" si="13"/>
        <v>update evaluasi set tahun = 1, nilai_maks = 4, nilai_input=83.2, bobot = 4, nilai_akhir = 83.2, id_indikator = 'C020250224' where id_evaluasi = '20250106_C020250504';</v>
      </c>
      <c r="K389" s="14"/>
      <c r="P389" s="12"/>
      <c r="Q389" s="12"/>
    </row>
    <row r="390" spans="1:17" hidden="1" x14ac:dyDescent="0.35">
      <c r="A390" t="s">
        <v>447</v>
      </c>
      <c r="B390" t="s">
        <v>425</v>
      </c>
      <c r="C390" t="s">
        <v>77</v>
      </c>
      <c r="D390" t="s">
        <v>78</v>
      </c>
      <c r="E390" s="1">
        <v>1</v>
      </c>
      <c r="F390" s="1">
        <f>VLOOKUP(C390,m_indikator!$A$2:$F$30,5,TRUE)</f>
        <v>4</v>
      </c>
      <c r="G390" s="15">
        <v>80.2</v>
      </c>
      <c r="H390" s="1">
        <f>VLOOKUP(C390,m_indikator!$A$2:$F$30,6,TRUE)</f>
        <v>4</v>
      </c>
      <c r="I390" s="15">
        <f t="shared" si="12"/>
        <v>80.2</v>
      </c>
      <c r="J390" t="str">
        <f t="shared" si="13"/>
        <v>update evaluasi set tahun = 1, nilai_maks = 4, nilai_input=80.2, bobot = 4, nilai_akhir = 80.2, id_indikator = 'C020250224' where id_evaluasi = '20250107_C020250504';</v>
      </c>
      <c r="K390" s="14"/>
      <c r="P390" s="12"/>
      <c r="Q390" s="12"/>
    </row>
    <row r="391" spans="1:17" hidden="1" x14ac:dyDescent="0.35">
      <c r="A391" t="s">
        <v>448</v>
      </c>
      <c r="B391" t="s">
        <v>425</v>
      </c>
      <c r="C391" t="s">
        <v>77</v>
      </c>
      <c r="D391" t="s">
        <v>78</v>
      </c>
      <c r="E391" s="1">
        <v>1</v>
      </c>
      <c r="F391" s="1">
        <f>VLOOKUP(C391,m_indikator!$A$2:$F$30,5,TRUE)</f>
        <v>4</v>
      </c>
      <c r="G391" s="15">
        <v>79.400000000000006</v>
      </c>
      <c r="H391" s="1">
        <f>VLOOKUP(C391,m_indikator!$A$2:$F$30,6,TRUE)</f>
        <v>4</v>
      </c>
      <c r="I391" s="15">
        <f t="shared" si="12"/>
        <v>79.400000000000006</v>
      </c>
      <c r="J391" t="str">
        <f t="shared" si="13"/>
        <v>update evaluasi set tahun = 1, nilai_maks = 4, nilai_input=79.4, bobot = 4, nilai_akhir = 79.4, id_indikator = 'C020250224' where id_evaluasi = '20250108_C020250504';</v>
      </c>
      <c r="P391" s="12"/>
      <c r="Q391" s="12"/>
    </row>
    <row r="392" spans="1:17" hidden="1" x14ac:dyDescent="0.35">
      <c r="A392" t="s">
        <v>449</v>
      </c>
      <c r="B392" t="s">
        <v>425</v>
      </c>
      <c r="C392" t="s">
        <v>77</v>
      </c>
      <c r="D392" t="s">
        <v>78</v>
      </c>
      <c r="E392" s="1">
        <v>1</v>
      </c>
      <c r="F392" s="1">
        <f>VLOOKUP(C392,m_indikator!$A$2:$F$30,5,TRUE)</f>
        <v>4</v>
      </c>
      <c r="G392" s="15">
        <v>72.8</v>
      </c>
      <c r="H392" s="1">
        <f>VLOOKUP(C392,m_indikator!$A$2:$F$30,6,TRUE)</f>
        <v>4</v>
      </c>
      <c r="I392" s="15">
        <f t="shared" si="12"/>
        <v>72.8</v>
      </c>
      <c r="J392" t="str">
        <f t="shared" si="13"/>
        <v>update evaluasi set tahun = 1, nilai_maks = 4, nilai_input=72.8, bobot = 4, nilai_akhir = 72.8, id_indikator = 'C020250224' where id_evaluasi = '20250109_C020250504';</v>
      </c>
      <c r="K392" s="14"/>
      <c r="P392" s="12"/>
      <c r="Q392" s="12"/>
    </row>
    <row r="393" spans="1:17" hidden="1" x14ac:dyDescent="0.35">
      <c r="A393" t="s">
        <v>450</v>
      </c>
      <c r="B393" t="s">
        <v>425</v>
      </c>
      <c r="C393" t="s">
        <v>77</v>
      </c>
      <c r="D393" t="s">
        <v>78</v>
      </c>
      <c r="E393" s="1">
        <v>1</v>
      </c>
      <c r="F393" s="1">
        <f>VLOOKUP(C393,m_indikator!$A$2:$F$30,5,TRUE)</f>
        <v>4</v>
      </c>
      <c r="G393" s="15">
        <v>80.2</v>
      </c>
      <c r="H393" s="1">
        <f>VLOOKUP(C393,m_indikator!$A$2:$F$30,6,TRUE)</f>
        <v>4</v>
      </c>
      <c r="I393" s="15">
        <f t="shared" si="12"/>
        <v>80.2</v>
      </c>
      <c r="J393" t="str">
        <f t="shared" si="13"/>
        <v>update evaluasi set tahun = 1, nilai_maks = 4, nilai_input=80.2, bobot = 4, nilai_akhir = 80.2, id_indikator = 'C020250224' where id_evaluasi = '20250110_C020250504';</v>
      </c>
      <c r="K393" s="14"/>
      <c r="P393" s="12"/>
      <c r="Q393" s="12"/>
    </row>
    <row r="394" spans="1:17" x14ac:dyDescent="0.35">
      <c r="A394" t="s">
        <v>521</v>
      </c>
      <c r="B394" t="s">
        <v>490</v>
      </c>
      <c r="C394" t="s">
        <v>79</v>
      </c>
      <c r="D394" t="s">
        <v>80</v>
      </c>
      <c r="E394" s="1">
        <v>1</v>
      </c>
      <c r="F394" s="1">
        <f>VLOOKUP(C394,m_indikator!$A$2:$F$30,5,TRUE)</f>
        <v>100</v>
      </c>
      <c r="G394" s="15">
        <v>81.75</v>
      </c>
      <c r="H394" s="1">
        <f>VLOOKUP(C394,m_indikator!$A$2:$F$30,6,TRUE)</f>
        <v>2</v>
      </c>
      <c r="I394" s="15">
        <f t="shared" si="12"/>
        <v>1.635</v>
      </c>
      <c r="J394" t="str">
        <f t="shared" si="13"/>
        <v>update evaluasi set tahun = 1, nilai_maks = 100, nilai_input=81.75, bobot = 2, nilai_akhir = 1.635, id_indikator = 'C020250225' where id_evaluasi = '20250001_C020250601';</v>
      </c>
      <c r="K394" s="14"/>
      <c r="P394" s="12"/>
      <c r="Q394" s="12"/>
    </row>
    <row r="395" spans="1:17" x14ac:dyDescent="0.35">
      <c r="A395" t="s">
        <v>522</v>
      </c>
      <c r="B395" t="s">
        <v>490</v>
      </c>
      <c r="C395" t="s">
        <v>79</v>
      </c>
      <c r="D395" t="s">
        <v>80</v>
      </c>
      <c r="E395" s="1">
        <v>1</v>
      </c>
      <c r="F395" s="1">
        <f>VLOOKUP(C395,m_indikator!$A$2:$F$30,5,TRUE)</f>
        <v>100</v>
      </c>
      <c r="G395" s="15">
        <v>82.8</v>
      </c>
      <c r="H395" s="1">
        <f>VLOOKUP(C395,m_indikator!$A$2:$F$30,6,TRUE)</f>
        <v>2</v>
      </c>
      <c r="I395" s="15">
        <f t="shared" si="12"/>
        <v>1.6559999999999999</v>
      </c>
      <c r="J395" t="str">
        <f t="shared" si="13"/>
        <v>update evaluasi set tahun = 1, nilai_maks = 100, nilai_input=82.8, bobot = 2, nilai_akhir = 1.656, id_indikator = 'C020250225' where id_evaluasi = '20250002_C020250601';</v>
      </c>
      <c r="K395" s="14"/>
      <c r="P395" s="12"/>
      <c r="Q395" s="12"/>
    </row>
    <row r="396" spans="1:17" x14ac:dyDescent="0.35">
      <c r="A396" t="s">
        <v>523</v>
      </c>
      <c r="B396" t="s">
        <v>490</v>
      </c>
      <c r="C396" t="s">
        <v>79</v>
      </c>
      <c r="D396" t="s">
        <v>80</v>
      </c>
      <c r="E396" s="1">
        <v>1</v>
      </c>
      <c r="F396" s="1">
        <f>VLOOKUP(C396,m_indikator!$A$2:$F$30,5,TRUE)</f>
        <v>100</v>
      </c>
      <c r="G396" s="15">
        <v>84.28</v>
      </c>
      <c r="H396" s="1">
        <f>VLOOKUP(C396,m_indikator!$A$2:$F$30,6,TRUE)</f>
        <v>2</v>
      </c>
      <c r="I396" s="15">
        <f t="shared" si="12"/>
        <v>1.6856</v>
      </c>
      <c r="J396" t="str">
        <f t="shared" si="13"/>
        <v>update evaluasi set tahun = 1, nilai_maks = 100, nilai_input=84.28, bobot = 2, nilai_akhir = 1.6856, id_indikator = 'C020250225' where id_evaluasi = '20250003_C020250601';</v>
      </c>
      <c r="K396" s="14"/>
      <c r="P396" s="12"/>
      <c r="Q396" s="12"/>
    </row>
    <row r="397" spans="1:17" x14ac:dyDescent="0.35">
      <c r="A397" t="s">
        <v>524</v>
      </c>
      <c r="B397" t="s">
        <v>490</v>
      </c>
      <c r="C397" t="s">
        <v>79</v>
      </c>
      <c r="D397" t="s">
        <v>80</v>
      </c>
      <c r="E397" s="1">
        <v>1</v>
      </c>
      <c r="F397" s="1">
        <f>VLOOKUP(C397,m_indikator!$A$2:$F$30,5,TRUE)</f>
        <v>100</v>
      </c>
      <c r="G397" s="15">
        <v>86.95</v>
      </c>
      <c r="H397" s="1">
        <f>VLOOKUP(C397,m_indikator!$A$2:$F$30,6,TRUE)</f>
        <v>2</v>
      </c>
      <c r="I397" s="15">
        <f t="shared" si="12"/>
        <v>1.7390000000000001</v>
      </c>
      <c r="J397" t="str">
        <f t="shared" si="13"/>
        <v>update evaluasi set tahun = 1, nilai_maks = 100, nilai_input=86.95, bobot = 2, nilai_akhir = 1.739, id_indikator = 'C020250225' where id_evaluasi = '20250004_C020250601';</v>
      </c>
      <c r="K397" s="14"/>
      <c r="P397" s="12"/>
      <c r="Q397" s="12"/>
    </row>
    <row r="398" spans="1:17" x14ac:dyDescent="0.35">
      <c r="A398" t="s">
        <v>525</v>
      </c>
      <c r="B398" t="s">
        <v>490</v>
      </c>
      <c r="C398" t="s">
        <v>79</v>
      </c>
      <c r="D398" t="s">
        <v>80</v>
      </c>
      <c r="E398" s="1">
        <v>1</v>
      </c>
      <c r="F398" s="1">
        <f>VLOOKUP(C398,m_indikator!$A$2:$F$30,5,TRUE)</f>
        <v>100</v>
      </c>
      <c r="G398" s="15">
        <v>83.54</v>
      </c>
      <c r="H398" s="1">
        <f>VLOOKUP(C398,m_indikator!$A$2:$F$30,6,TRUE)</f>
        <v>2</v>
      </c>
      <c r="I398" s="15">
        <f t="shared" si="12"/>
        <v>1.6708000000000001</v>
      </c>
      <c r="J398" t="str">
        <f t="shared" si="13"/>
        <v>update evaluasi set tahun = 1, nilai_maks = 100, nilai_input=83.54, bobot = 2, nilai_akhir = 1.6708, id_indikator = 'C020250225' where id_evaluasi = '20250005_C020250601';</v>
      </c>
      <c r="K398" s="14"/>
      <c r="P398" s="12"/>
      <c r="Q398" s="12"/>
    </row>
    <row r="399" spans="1:17" x14ac:dyDescent="0.35">
      <c r="A399" t="s">
        <v>526</v>
      </c>
      <c r="B399" t="s">
        <v>490</v>
      </c>
      <c r="C399" t="s">
        <v>79</v>
      </c>
      <c r="D399" t="s">
        <v>80</v>
      </c>
      <c r="E399" s="1">
        <v>1</v>
      </c>
      <c r="F399" s="1">
        <f>VLOOKUP(C399,m_indikator!$A$2:$F$30,5,TRUE)</f>
        <v>100</v>
      </c>
      <c r="G399" s="15">
        <v>88.73</v>
      </c>
      <c r="H399" s="1">
        <f>VLOOKUP(C399,m_indikator!$A$2:$F$30,6,TRUE)</f>
        <v>2</v>
      </c>
      <c r="I399" s="15">
        <f t="shared" si="12"/>
        <v>1.7746000000000002</v>
      </c>
      <c r="J399" t="str">
        <f t="shared" si="13"/>
        <v>update evaluasi set tahun = 1, nilai_maks = 100, nilai_input=88.73, bobot = 2, nilai_akhir = 1.7746, id_indikator = 'C020250225' where id_evaluasi = '20250006_C020250601';</v>
      </c>
      <c r="K399" s="14"/>
      <c r="P399" s="12"/>
      <c r="Q399" s="12"/>
    </row>
    <row r="400" spans="1:17" x14ac:dyDescent="0.35">
      <c r="A400" t="s">
        <v>527</v>
      </c>
      <c r="B400" t="s">
        <v>490</v>
      </c>
      <c r="C400" t="s">
        <v>79</v>
      </c>
      <c r="D400" t="s">
        <v>80</v>
      </c>
      <c r="E400" s="1">
        <v>1</v>
      </c>
      <c r="F400" s="1">
        <f>VLOOKUP(C400,m_indikator!$A$2:$F$30,5,TRUE)</f>
        <v>100</v>
      </c>
      <c r="G400" s="15">
        <v>85.16</v>
      </c>
      <c r="H400" s="1">
        <f>VLOOKUP(C400,m_indikator!$A$2:$F$30,6,TRUE)</f>
        <v>2</v>
      </c>
      <c r="I400" s="15">
        <f t="shared" si="12"/>
        <v>1.7031999999999998</v>
      </c>
      <c r="J400" t="str">
        <f t="shared" si="13"/>
        <v>update evaluasi set tahun = 1, nilai_maks = 100, nilai_input=85.16, bobot = 2, nilai_akhir = 1.7032, id_indikator = 'C020250225' where id_evaluasi = '20250007_C020250601';</v>
      </c>
      <c r="K400" s="14"/>
      <c r="P400" s="12"/>
      <c r="Q400" s="12"/>
    </row>
    <row r="401" spans="1:17" x14ac:dyDescent="0.35">
      <c r="A401" t="s">
        <v>528</v>
      </c>
      <c r="B401" t="s">
        <v>490</v>
      </c>
      <c r="C401" t="s">
        <v>79</v>
      </c>
      <c r="D401" t="s">
        <v>80</v>
      </c>
      <c r="E401" s="1">
        <v>1</v>
      </c>
      <c r="F401" s="1">
        <f>VLOOKUP(C401,m_indikator!$A$2:$F$30,5,TRUE)</f>
        <v>100</v>
      </c>
      <c r="G401" s="15">
        <v>84.55</v>
      </c>
      <c r="H401" s="1">
        <f>VLOOKUP(C401,m_indikator!$A$2:$F$30,6,TRUE)</f>
        <v>2</v>
      </c>
      <c r="I401" s="15">
        <f t="shared" si="12"/>
        <v>1.6909999999999998</v>
      </c>
      <c r="J401" t="str">
        <f t="shared" si="13"/>
        <v>update evaluasi set tahun = 1, nilai_maks = 100, nilai_input=84.55, bobot = 2, nilai_akhir = 1.691, id_indikator = 'C020250225' where id_evaluasi = '20250008_C020250601';</v>
      </c>
      <c r="K401" s="14"/>
      <c r="P401" s="12"/>
      <c r="Q401" s="12"/>
    </row>
    <row r="402" spans="1:17" x14ac:dyDescent="0.35">
      <c r="A402" t="s">
        <v>529</v>
      </c>
      <c r="B402" t="s">
        <v>490</v>
      </c>
      <c r="C402" t="s">
        <v>79</v>
      </c>
      <c r="D402" t="s">
        <v>80</v>
      </c>
      <c r="E402" s="1">
        <v>1</v>
      </c>
      <c r="F402" s="1">
        <f>VLOOKUP(C402,m_indikator!$A$2:$F$30,5,TRUE)</f>
        <v>100</v>
      </c>
      <c r="G402" s="15">
        <v>81.819999999999993</v>
      </c>
      <c r="H402" s="1">
        <f>VLOOKUP(C402,m_indikator!$A$2:$F$30,6,TRUE)</f>
        <v>2</v>
      </c>
      <c r="I402" s="15">
        <f t="shared" si="12"/>
        <v>1.6363999999999999</v>
      </c>
      <c r="J402" t="str">
        <f t="shared" si="13"/>
        <v>update evaluasi set tahun = 1, nilai_maks = 100, nilai_input=81.82, bobot = 2, nilai_akhir = 1.6364, id_indikator = 'C020250225' where id_evaluasi = '20250009_C020250601';</v>
      </c>
      <c r="K402" s="14"/>
      <c r="P402" s="12"/>
      <c r="Q402" s="12"/>
    </row>
    <row r="403" spans="1:17" x14ac:dyDescent="0.35">
      <c r="A403" t="s">
        <v>530</v>
      </c>
      <c r="B403" t="s">
        <v>490</v>
      </c>
      <c r="C403" t="s">
        <v>79</v>
      </c>
      <c r="D403" t="s">
        <v>80</v>
      </c>
      <c r="E403" s="1">
        <v>1</v>
      </c>
      <c r="F403" s="1">
        <f>VLOOKUP(C403,m_indikator!$A$2:$F$30,5,TRUE)</f>
        <v>100</v>
      </c>
      <c r="G403" s="15">
        <v>81.33</v>
      </c>
      <c r="H403" s="1">
        <f>VLOOKUP(C403,m_indikator!$A$2:$F$30,6,TRUE)</f>
        <v>2</v>
      </c>
      <c r="I403" s="15">
        <f t="shared" si="12"/>
        <v>1.6266</v>
      </c>
      <c r="J403" t="str">
        <f t="shared" si="13"/>
        <v>update evaluasi set tahun = 1, nilai_maks = 100, nilai_input=81.33, bobot = 2, nilai_akhir = 1.6266, id_indikator = 'C020250225' where id_evaluasi = '20250010_C020250601';</v>
      </c>
      <c r="K403" s="14"/>
      <c r="P403" s="12"/>
      <c r="Q403" s="12"/>
    </row>
    <row r="404" spans="1:17" x14ac:dyDescent="0.35">
      <c r="A404" t="s">
        <v>531</v>
      </c>
      <c r="B404" t="s">
        <v>490</v>
      </c>
      <c r="C404" t="s">
        <v>79</v>
      </c>
      <c r="D404" t="s">
        <v>80</v>
      </c>
      <c r="E404" s="1">
        <v>1</v>
      </c>
      <c r="F404" s="1">
        <f>VLOOKUP(C404,m_indikator!$A$2:$F$30,5,TRUE)</f>
        <v>100</v>
      </c>
      <c r="G404" s="15">
        <v>82.49</v>
      </c>
      <c r="H404" s="1">
        <f>VLOOKUP(C404,m_indikator!$A$2:$F$30,6,TRUE)</f>
        <v>2</v>
      </c>
      <c r="I404" s="15">
        <f t="shared" si="12"/>
        <v>1.6497999999999999</v>
      </c>
      <c r="J404" t="str">
        <f t="shared" si="13"/>
        <v>update evaluasi set tahun = 1, nilai_maks = 100, nilai_input=82.49, bobot = 2, nilai_akhir = 1.6498, id_indikator = 'C020250225' where id_evaluasi = '20250011_C020250601';</v>
      </c>
      <c r="K404" s="14"/>
      <c r="P404" s="12"/>
      <c r="Q404" s="12"/>
    </row>
    <row r="405" spans="1:17" x14ac:dyDescent="0.35">
      <c r="A405" t="s">
        <v>532</v>
      </c>
      <c r="B405" t="s">
        <v>490</v>
      </c>
      <c r="C405" t="s">
        <v>79</v>
      </c>
      <c r="D405" t="s">
        <v>80</v>
      </c>
      <c r="E405" s="1">
        <v>1</v>
      </c>
      <c r="F405" s="1">
        <f>VLOOKUP(C405,m_indikator!$A$2:$F$30,5,TRUE)</f>
        <v>100</v>
      </c>
      <c r="G405" s="15">
        <v>87.51</v>
      </c>
      <c r="H405" s="1">
        <f>VLOOKUP(C405,m_indikator!$A$2:$F$30,6,TRUE)</f>
        <v>2</v>
      </c>
      <c r="I405" s="15">
        <f t="shared" si="12"/>
        <v>1.7502000000000002</v>
      </c>
      <c r="J405" t="str">
        <f t="shared" si="13"/>
        <v>update evaluasi set tahun = 1, nilai_maks = 100, nilai_input=87.51, bobot = 2, nilai_akhir = 1.7502, id_indikator = 'C020250225' where id_evaluasi = '20250012_C020250601';</v>
      </c>
      <c r="K405" s="14"/>
      <c r="P405" s="12"/>
      <c r="Q405" s="12"/>
    </row>
    <row r="406" spans="1:17" x14ac:dyDescent="0.35">
      <c r="A406" t="s">
        <v>533</v>
      </c>
      <c r="B406" t="s">
        <v>490</v>
      </c>
      <c r="C406" t="s">
        <v>79</v>
      </c>
      <c r="D406" t="s">
        <v>80</v>
      </c>
      <c r="E406" s="1">
        <v>1</v>
      </c>
      <c r="F406" s="1">
        <f>VLOOKUP(C406,m_indikator!$A$2:$F$30,5,TRUE)</f>
        <v>100</v>
      </c>
      <c r="G406" s="15">
        <v>83.53</v>
      </c>
      <c r="H406" s="1">
        <f>VLOOKUP(C406,m_indikator!$A$2:$F$30,6,TRUE)</f>
        <v>2</v>
      </c>
      <c r="I406" s="15">
        <f t="shared" si="12"/>
        <v>1.6706000000000001</v>
      </c>
      <c r="J406" t="str">
        <f t="shared" si="13"/>
        <v>update evaluasi set tahun = 1, nilai_maks = 100, nilai_input=83.53, bobot = 2, nilai_akhir = 1.6706, id_indikator = 'C020250225' where id_evaluasi = '20250013_C020250601';</v>
      </c>
      <c r="K406" s="14"/>
      <c r="P406" s="12"/>
      <c r="Q406" s="12"/>
    </row>
    <row r="407" spans="1:17" x14ac:dyDescent="0.35">
      <c r="A407" t="s">
        <v>534</v>
      </c>
      <c r="B407" t="s">
        <v>490</v>
      </c>
      <c r="C407" t="s">
        <v>79</v>
      </c>
      <c r="D407" t="s">
        <v>80</v>
      </c>
      <c r="E407" s="1">
        <v>1</v>
      </c>
      <c r="F407" s="1">
        <f>VLOOKUP(C407,m_indikator!$A$2:$F$30,5,TRUE)</f>
        <v>100</v>
      </c>
      <c r="G407" s="15">
        <v>85.01</v>
      </c>
      <c r="H407" s="1">
        <f>VLOOKUP(C407,m_indikator!$A$2:$F$30,6,TRUE)</f>
        <v>2</v>
      </c>
      <c r="I407" s="15">
        <f t="shared" si="12"/>
        <v>1.7002000000000002</v>
      </c>
      <c r="J407" t="str">
        <f t="shared" si="13"/>
        <v>update evaluasi set tahun = 1, nilai_maks = 100, nilai_input=85.01, bobot = 2, nilai_akhir = 1.7002, id_indikator = 'C020250225' where id_evaluasi = '20250014_C020250601';</v>
      </c>
      <c r="K407" s="14"/>
      <c r="P407" s="12"/>
      <c r="Q407" s="12"/>
    </row>
    <row r="408" spans="1:17" x14ac:dyDescent="0.35">
      <c r="A408" t="s">
        <v>535</v>
      </c>
      <c r="B408" t="s">
        <v>490</v>
      </c>
      <c r="C408" t="s">
        <v>79</v>
      </c>
      <c r="D408" t="s">
        <v>80</v>
      </c>
      <c r="E408" s="1">
        <v>1</v>
      </c>
      <c r="F408" s="1">
        <f>VLOOKUP(C408,m_indikator!$A$2:$F$30,5,TRUE)</f>
        <v>100</v>
      </c>
      <c r="G408" s="15">
        <v>83.4</v>
      </c>
      <c r="H408" s="1">
        <f>VLOOKUP(C408,m_indikator!$A$2:$F$30,6,TRUE)</f>
        <v>2</v>
      </c>
      <c r="I408" s="15">
        <f t="shared" si="12"/>
        <v>1.6680000000000001</v>
      </c>
      <c r="J408" t="str">
        <f t="shared" si="13"/>
        <v>update evaluasi set tahun = 1, nilai_maks = 100, nilai_input=83.4, bobot = 2, nilai_akhir = 1.668, id_indikator = 'C020250225' where id_evaluasi = '20250015_C020250601';</v>
      </c>
      <c r="K408" s="14"/>
      <c r="P408" s="12"/>
      <c r="Q408" s="12"/>
    </row>
    <row r="409" spans="1:17" x14ac:dyDescent="0.35">
      <c r="A409" t="s">
        <v>86</v>
      </c>
      <c r="B409" t="s">
        <v>490</v>
      </c>
      <c r="C409" t="s">
        <v>79</v>
      </c>
      <c r="D409" t="s">
        <v>80</v>
      </c>
      <c r="E409" s="1">
        <v>1</v>
      </c>
      <c r="F409" s="1">
        <f>VLOOKUP(C409,m_indikator!$A$2:$F$30,5,TRUE)</f>
        <v>100</v>
      </c>
      <c r="G409" s="15">
        <v>84.99</v>
      </c>
      <c r="H409" s="1">
        <f>VLOOKUP(C409,m_indikator!$A$2:$F$30,6,TRUE)</f>
        <v>2</v>
      </c>
      <c r="I409" s="15">
        <f t="shared" si="12"/>
        <v>1.6998</v>
      </c>
      <c r="J409" t="str">
        <f t="shared" si="13"/>
        <v>update evaluasi set tahun = 1, nilai_maks = 100, nilai_input=84.99, bobot = 2, nilai_akhir = 1.6998, id_indikator = 'C020250225' where id_evaluasi = '20250016_C020250601';</v>
      </c>
      <c r="K409" s="14"/>
      <c r="P409" s="12"/>
      <c r="Q409" s="12"/>
    </row>
    <row r="410" spans="1:17" x14ac:dyDescent="0.35">
      <c r="A410" t="s">
        <v>536</v>
      </c>
      <c r="B410" t="s">
        <v>490</v>
      </c>
      <c r="C410" t="s">
        <v>79</v>
      </c>
      <c r="D410" t="s">
        <v>80</v>
      </c>
      <c r="E410" s="1">
        <v>1</v>
      </c>
      <c r="F410" s="1">
        <f>VLOOKUP(C410,m_indikator!$A$2:$F$30,5,TRUE)</f>
        <v>100</v>
      </c>
      <c r="G410" s="15">
        <v>81.53</v>
      </c>
      <c r="H410" s="1">
        <f>VLOOKUP(C410,m_indikator!$A$2:$F$30,6,TRUE)</f>
        <v>2</v>
      </c>
      <c r="I410" s="15">
        <f t="shared" si="12"/>
        <v>1.6306</v>
      </c>
      <c r="J410" t="str">
        <f t="shared" si="13"/>
        <v>update evaluasi set tahun = 1, nilai_maks = 100, nilai_input=81.53, bobot = 2, nilai_akhir = 1.6306, id_indikator = 'C020250225' where id_evaluasi = '20250017_C020250601';</v>
      </c>
      <c r="K410" s="14"/>
      <c r="P410" s="12"/>
      <c r="Q410" s="12"/>
    </row>
    <row r="411" spans="1:17" x14ac:dyDescent="0.35">
      <c r="A411" t="s">
        <v>537</v>
      </c>
      <c r="B411" t="s">
        <v>490</v>
      </c>
      <c r="C411" t="s">
        <v>79</v>
      </c>
      <c r="D411" t="s">
        <v>80</v>
      </c>
      <c r="E411" s="1">
        <v>1</v>
      </c>
      <c r="F411" s="1">
        <f>VLOOKUP(C411,m_indikator!$A$2:$F$30,5,TRUE)</f>
        <v>100</v>
      </c>
      <c r="G411" s="15">
        <v>86.23</v>
      </c>
      <c r="H411" s="1">
        <f>VLOOKUP(C411,m_indikator!$A$2:$F$30,6,TRUE)</f>
        <v>2</v>
      </c>
      <c r="I411" s="15">
        <f t="shared" si="12"/>
        <v>1.7246000000000001</v>
      </c>
      <c r="J411" t="str">
        <f t="shared" si="13"/>
        <v>update evaluasi set tahun = 1, nilai_maks = 100, nilai_input=86.23, bobot = 2, nilai_akhir = 1.7246, id_indikator = 'C020250225' where id_evaluasi = '20250018_C020250601';</v>
      </c>
      <c r="K411" s="14"/>
      <c r="P411" s="12"/>
      <c r="Q411" s="12"/>
    </row>
    <row r="412" spans="1:17" x14ac:dyDescent="0.35">
      <c r="A412" t="s">
        <v>538</v>
      </c>
      <c r="B412" t="s">
        <v>490</v>
      </c>
      <c r="C412" t="s">
        <v>79</v>
      </c>
      <c r="D412" t="s">
        <v>80</v>
      </c>
      <c r="E412" s="1">
        <v>1</v>
      </c>
      <c r="F412" s="1">
        <f>VLOOKUP(C412,m_indikator!$A$2:$F$30,5,TRUE)</f>
        <v>100</v>
      </c>
      <c r="G412" s="15">
        <v>81.209999999999994</v>
      </c>
      <c r="H412" s="1">
        <f>VLOOKUP(C412,m_indikator!$A$2:$F$30,6,TRUE)</f>
        <v>2</v>
      </c>
      <c r="I412" s="15">
        <f t="shared" si="12"/>
        <v>1.6241999999999999</v>
      </c>
      <c r="J412" t="str">
        <f t="shared" si="13"/>
        <v>update evaluasi set tahun = 1, nilai_maks = 100, nilai_input=81.21, bobot = 2, nilai_akhir = 1.6242, id_indikator = 'C020250225' where id_evaluasi = '20250019_C020250601';</v>
      </c>
      <c r="K412" s="14"/>
      <c r="P412" s="12"/>
      <c r="Q412" s="12"/>
    </row>
    <row r="413" spans="1:17" x14ac:dyDescent="0.35">
      <c r="A413" t="s">
        <v>489</v>
      </c>
      <c r="B413" t="s">
        <v>490</v>
      </c>
      <c r="C413" t="s">
        <v>79</v>
      </c>
      <c r="D413" t="s">
        <v>80</v>
      </c>
      <c r="E413" s="1">
        <v>1</v>
      </c>
      <c r="F413" s="1">
        <f>VLOOKUP(C413,m_indikator!$A$2:$F$30,5,TRUE)</f>
        <v>100</v>
      </c>
      <c r="G413" s="15">
        <v>82.55</v>
      </c>
      <c r="H413" s="1">
        <f>VLOOKUP(C413,m_indikator!$A$2:$F$30,6,TRUE)</f>
        <v>2</v>
      </c>
      <c r="I413" s="15">
        <f t="shared" si="12"/>
        <v>1.651</v>
      </c>
      <c r="J413" t="str">
        <f t="shared" si="13"/>
        <v>update evaluasi set tahun = 1, nilai_maks = 100, nilai_input=82.55, bobot = 2, nilai_akhir = 1.651, id_indikator = 'C020250225' where id_evaluasi = '20250020_C020250601';</v>
      </c>
      <c r="K413" s="14"/>
      <c r="P413" s="12"/>
      <c r="Q413" s="12"/>
    </row>
    <row r="414" spans="1:17" x14ac:dyDescent="0.35">
      <c r="A414" t="s">
        <v>491</v>
      </c>
      <c r="B414" t="s">
        <v>490</v>
      </c>
      <c r="C414" t="s">
        <v>79</v>
      </c>
      <c r="D414" t="s">
        <v>80</v>
      </c>
      <c r="E414" s="1">
        <v>1</v>
      </c>
      <c r="F414" s="1">
        <f>VLOOKUP(C414,m_indikator!$A$2:$F$30,5,TRUE)</f>
        <v>100</v>
      </c>
      <c r="G414" s="15">
        <v>82.57</v>
      </c>
      <c r="H414" s="1">
        <f>VLOOKUP(C414,m_indikator!$A$2:$F$30,6,TRUE)</f>
        <v>2</v>
      </c>
      <c r="I414" s="15">
        <f t="shared" si="12"/>
        <v>1.6513999999999998</v>
      </c>
      <c r="J414" t="str">
        <f t="shared" si="13"/>
        <v>update evaluasi set tahun = 1, nilai_maks = 100, nilai_input=82.57, bobot = 2, nilai_akhir = 1.6514, id_indikator = 'C020250225' where id_evaluasi = '20250021_C020250601';</v>
      </c>
      <c r="K414" s="14"/>
      <c r="P414" s="12"/>
      <c r="Q414" s="12"/>
    </row>
    <row r="415" spans="1:17" x14ac:dyDescent="0.35">
      <c r="A415" t="s">
        <v>492</v>
      </c>
      <c r="B415" t="s">
        <v>490</v>
      </c>
      <c r="C415" t="s">
        <v>79</v>
      </c>
      <c r="D415" t="s">
        <v>80</v>
      </c>
      <c r="E415" s="1">
        <v>1</v>
      </c>
      <c r="F415" s="1">
        <f>VLOOKUP(C415,m_indikator!$A$2:$F$30,5,TRUE)</f>
        <v>100</v>
      </c>
      <c r="G415" s="15">
        <v>82.15</v>
      </c>
      <c r="H415" s="1">
        <f>VLOOKUP(C415,m_indikator!$A$2:$F$30,6,TRUE)</f>
        <v>2</v>
      </c>
      <c r="I415" s="15">
        <f t="shared" si="12"/>
        <v>1.643</v>
      </c>
      <c r="J415" t="str">
        <f t="shared" si="13"/>
        <v>update evaluasi set tahun = 1, nilai_maks = 100, nilai_input=82.15, bobot = 2, nilai_akhir = 1.643, id_indikator = 'C020250225' where id_evaluasi = '20250022_C020250601';</v>
      </c>
      <c r="K415" s="14"/>
      <c r="P415" s="12"/>
      <c r="Q415" s="12"/>
    </row>
    <row r="416" spans="1:17" x14ac:dyDescent="0.35">
      <c r="A416" t="s">
        <v>493</v>
      </c>
      <c r="B416" t="s">
        <v>490</v>
      </c>
      <c r="C416" t="s">
        <v>79</v>
      </c>
      <c r="D416" t="s">
        <v>80</v>
      </c>
      <c r="E416" s="1">
        <v>1</v>
      </c>
      <c r="F416" s="1">
        <f>VLOOKUP(C416,m_indikator!$A$2:$F$30,5,TRUE)</f>
        <v>100</v>
      </c>
      <c r="G416" s="15">
        <v>83.47</v>
      </c>
      <c r="H416" s="1">
        <f>VLOOKUP(C416,m_indikator!$A$2:$F$30,6,TRUE)</f>
        <v>2</v>
      </c>
      <c r="I416" s="15">
        <f t="shared" si="12"/>
        <v>1.6694</v>
      </c>
      <c r="J416" t="str">
        <f t="shared" si="13"/>
        <v>update evaluasi set tahun = 1, nilai_maks = 100, nilai_input=83.47, bobot = 2, nilai_akhir = 1.6694, id_indikator = 'C020250225' where id_evaluasi = '20250023_C020250601';</v>
      </c>
      <c r="K416" s="14"/>
      <c r="P416" s="12"/>
      <c r="Q416" s="12"/>
    </row>
    <row r="417" spans="1:21" x14ac:dyDescent="0.35">
      <c r="A417" t="s">
        <v>494</v>
      </c>
      <c r="B417" t="s">
        <v>490</v>
      </c>
      <c r="C417" t="s">
        <v>79</v>
      </c>
      <c r="D417" t="s">
        <v>80</v>
      </c>
      <c r="E417" s="1">
        <v>1</v>
      </c>
      <c r="F417" s="1">
        <f>VLOOKUP(C417,m_indikator!$A$2:$F$30,5,TRUE)</f>
        <v>100</v>
      </c>
      <c r="G417" s="15">
        <v>82.26</v>
      </c>
      <c r="H417" s="1">
        <f>VLOOKUP(C417,m_indikator!$A$2:$F$30,6,TRUE)</f>
        <v>2</v>
      </c>
      <c r="I417" s="15">
        <f t="shared" si="12"/>
        <v>1.6452</v>
      </c>
      <c r="J417" t="str">
        <f t="shared" si="13"/>
        <v>update evaluasi set tahun = 1, nilai_maks = 100, nilai_input=82.26, bobot = 2, nilai_akhir = 1.6452, id_indikator = 'C020250225' where id_evaluasi = '20250024_C020250601';</v>
      </c>
      <c r="K417" s="14"/>
      <c r="P417" s="12"/>
      <c r="Q417" s="12"/>
    </row>
    <row r="418" spans="1:21" x14ac:dyDescent="0.35">
      <c r="A418" t="s">
        <v>495</v>
      </c>
      <c r="B418" t="s">
        <v>490</v>
      </c>
      <c r="C418" t="s">
        <v>79</v>
      </c>
      <c r="D418" t="s">
        <v>80</v>
      </c>
      <c r="E418" s="1">
        <v>1</v>
      </c>
      <c r="F418" s="1">
        <f>VLOOKUP(C418,m_indikator!$A$2:$F$30,5,TRUE)</f>
        <v>100</v>
      </c>
      <c r="G418" s="15">
        <v>86.37</v>
      </c>
      <c r="H418" s="1">
        <f>VLOOKUP(C418,m_indikator!$A$2:$F$30,6,TRUE)</f>
        <v>2</v>
      </c>
      <c r="I418" s="15">
        <f t="shared" si="12"/>
        <v>1.7274</v>
      </c>
      <c r="J418" t="str">
        <f t="shared" si="13"/>
        <v>update evaluasi set tahun = 1, nilai_maks = 100, nilai_input=86.37, bobot = 2, nilai_akhir = 1.7274, id_indikator = 'C020250225' where id_evaluasi = '20250025_C020250601';</v>
      </c>
      <c r="K418" s="14"/>
      <c r="P418" s="12"/>
      <c r="Q418" s="12"/>
    </row>
    <row r="419" spans="1:21" x14ac:dyDescent="0.35">
      <c r="A419" t="s">
        <v>496</v>
      </c>
      <c r="B419" t="s">
        <v>490</v>
      </c>
      <c r="C419" t="s">
        <v>79</v>
      </c>
      <c r="D419" t="s">
        <v>80</v>
      </c>
      <c r="E419" s="1">
        <v>1</v>
      </c>
      <c r="F419" s="1">
        <f>VLOOKUP(C419,m_indikator!$A$2:$F$30,5,TRUE)</f>
        <v>100</v>
      </c>
      <c r="G419" s="15">
        <v>82.24</v>
      </c>
      <c r="H419" s="1">
        <f>VLOOKUP(C419,m_indikator!$A$2:$F$30,6,TRUE)</f>
        <v>2</v>
      </c>
      <c r="I419" s="15">
        <f t="shared" si="12"/>
        <v>1.6447999999999998</v>
      </c>
      <c r="J419" t="str">
        <f t="shared" si="13"/>
        <v>update evaluasi set tahun = 1, nilai_maks = 100, nilai_input=82.24, bobot = 2, nilai_akhir = 1.6448, id_indikator = 'C020250225' where id_evaluasi = '20250026_C020250601';</v>
      </c>
      <c r="K419" s="14"/>
      <c r="P419" s="12"/>
      <c r="Q419" s="12"/>
    </row>
    <row r="420" spans="1:21" x14ac:dyDescent="0.35">
      <c r="A420" t="s">
        <v>497</v>
      </c>
      <c r="B420" t="s">
        <v>490</v>
      </c>
      <c r="C420" t="s">
        <v>79</v>
      </c>
      <c r="D420" t="s">
        <v>80</v>
      </c>
      <c r="E420" s="1">
        <v>1</v>
      </c>
      <c r="F420" s="1">
        <f>VLOOKUP(C420,m_indikator!$A$2:$F$30,5,TRUE)</f>
        <v>100</v>
      </c>
      <c r="G420" s="15">
        <v>82.94</v>
      </c>
      <c r="H420" s="1">
        <f>VLOOKUP(C420,m_indikator!$A$2:$F$30,6,TRUE)</f>
        <v>2</v>
      </c>
      <c r="I420" s="15">
        <f t="shared" si="12"/>
        <v>1.6588000000000001</v>
      </c>
      <c r="J420" t="str">
        <f t="shared" si="13"/>
        <v>update evaluasi set tahun = 1, nilai_maks = 100, nilai_input=82.94, bobot = 2, nilai_akhir = 1.6588, id_indikator = 'C020250225' where id_evaluasi = '20250027_C020250601';</v>
      </c>
      <c r="K420" s="14"/>
      <c r="P420" s="12"/>
      <c r="Q420" s="12"/>
    </row>
    <row r="421" spans="1:21" x14ac:dyDescent="0.35">
      <c r="A421" t="s">
        <v>498</v>
      </c>
      <c r="B421" t="s">
        <v>490</v>
      </c>
      <c r="C421" t="s">
        <v>79</v>
      </c>
      <c r="D421" t="s">
        <v>80</v>
      </c>
      <c r="E421" s="1">
        <v>1</v>
      </c>
      <c r="F421" s="1">
        <f>VLOOKUP(C421,m_indikator!$A$2:$F$30,5,TRUE)</f>
        <v>100</v>
      </c>
      <c r="G421" s="15">
        <v>82.2</v>
      </c>
      <c r="H421" s="1">
        <f>VLOOKUP(C421,m_indikator!$A$2:$F$30,6,TRUE)</f>
        <v>2</v>
      </c>
      <c r="I421" s="15">
        <f t="shared" si="12"/>
        <v>1.6440000000000001</v>
      </c>
      <c r="J421" t="str">
        <f t="shared" si="13"/>
        <v>update evaluasi set tahun = 1, nilai_maks = 100, nilai_input=82.2, bobot = 2, nilai_akhir = 1.644, id_indikator = 'C020250225' where id_evaluasi = '20250028_C020250601';</v>
      </c>
      <c r="K421" s="14"/>
      <c r="P421" s="12"/>
      <c r="Q421" s="12"/>
    </row>
    <row r="422" spans="1:21" x14ac:dyDescent="0.35">
      <c r="A422" t="s">
        <v>499</v>
      </c>
      <c r="B422" t="s">
        <v>490</v>
      </c>
      <c r="C422" t="s">
        <v>79</v>
      </c>
      <c r="D422" t="s">
        <v>80</v>
      </c>
      <c r="E422" s="1">
        <v>1</v>
      </c>
      <c r="F422" s="1">
        <f>VLOOKUP(C422,m_indikator!$A$2:$F$30,5,TRUE)</f>
        <v>100</v>
      </c>
      <c r="G422" s="15">
        <v>84.29</v>
      </c>
      <c r="H422" s="1">
        <f>VLOOKUP(C422,m_indikator!$A$2:$F$30,6,TRUE)</f>
        <v>2</v>
      </c>
      <c r="I422" s="15">
        <f t="shared" si="12"/>
        <v>1.6858000000000002</v>
      </c>
      <c r="J422" t="str">
        <f t="shared" si="13"/>
        <v>update evaluasi set tahun = 1, nilai_maks = 100, nilai_input=84.29, bobot = 2, nilai_akhir = 1.6858, id_indikator = 'C020250225' where id_evaluasi = '20250029_C020250601';</v>
      </c>
      <c r="K422" s="14"/>
      <c r="P422" s="12"/>
      <c r="Q422" s="12"/>
    </row>
    <row r="423" spans="1:21" x14ac:dyDescent="0.35">
      <c r="A423" t="s">
        <v>500</v>
      </c>
      <c r="B423" t="s">
        <v>490</v>
      </c>
      <c r="C423" t="s">
        <v>79</v>
      </c>
      <c r="D423" t="s">
        <v>80</v>
      </c>
      <c r="E423" s="1">
        <v>1</v>
      </c>
      <c r="F423" s="1">
        <f>VLOOKUP(C423,m_indikator!$A$2:$F$30,5,TRUE)</f>
        <v>100</v>
      </c>
      <c r="G423" s="15">
        <v>81.87</v>
      </c>
      <c r="H423" s="1">
        <f>VLOOKUP(C423,m_indikator!$A$2:$F$30,6,TRUE)</f>
        <v>2</v>
      </c>
      <c r="I423" s="15">
        <f t="shared" si="12"/>
        <v>1.6374000000000002</v>
      </c>
      <c r="J423" t="str">
        <f t="shared" si="13"/>
        <v>update evaluasi set tahun = 1, nilai_maks = 100, nilai_input=81.87, bobot = 2, nilai_akhir = 1.6374, id_indikator = 'C020250225' where id_evaluasi = '20250030_C020250601';</v>
      </c>
      <c r="K423" s="14"/>
      <c r="P423" s="12"/>
      <c r="Q423" s="12"/>
    </row>
    <row r="424" spans="1:21" x14ac:dyDescent="0.35">
      <c r="A424" t="s">
        <v>501</v>
      </c>
      <c r="B424" t="s">
        <v>490</v>
      </c>
      <c r="C424" t="s">
        <v>79</v>
      </c>
      <c r="D424" t="s">
        <v>80</v>
      </c>
      <c r="E424" s="1">
        <v>1</v>
      </c>
      <c r="F424" s="1">
        <f>VLOOKUP(C424,m_indikator!$A$2:$F$30,5,TRUE)</f>
        <v>100</v>
      </c>
      <c r="G424" s="15">
        <v>81.2</v>
      </c>
      <c r="H424" s="1">
        <f>VLOOKUP(C424,m_indikator!$A$2:$F$30,6,TRUE)</f>
        <v>2</v>
      </c>
      <c r="I424" s="15">
        <f t="shared" si="12"/>
        <v>1.6240000000000001</v>
      </c>
      <c r="J424" t="str">
        <f t="shared" si="13"/>
        <v>update evaluasi set tahun = 1, nilai_maks = 100, nilai_input=81.2, bobot = 2, nilai_akhir = 1.624, id_indikator = 'C020250225' where id_evaluasi = '20250031_C020250601';</v>
      </c>
      <c r="K424" s="14"/>
      <c r="P424" s="12"/>
      <c r="Q424" s="12"/>
    </row>
    <row r="425" spans="1:21" x14ac:dyDescent="0.35">
      <c r="A425" t="s">
        <v>502</v>
      </c>
      <c r="B425" t="s">
        <v>490</v>
      </c>
      <c r="C425" t="s">
        <v>79</v>
      </c>
      <c r="D425" t="s">
        <v>80</v>
      </c>
      <c r="E425" s="1">
        <v>1</v>
      </c>
      <c r="F425" s="1">
        <f>VLOOKUP(C425,m_indikator!$A$2:$F$30,5,TRUE)</f>
        <v>100</v>
      </c>
      <c r="G425" s="15">
        <v>82.06</v>
      </c>
      <c r="H425" s="1">
        <f>VLOOKUP(C425,m_indikator!$A$2:$F$30,6,TRUE)</f>
        <v>2</v>
      </c>
      <c r="I425" s="15">
        <f t="shared" si="12"/>
        <v>1.6412</v>
      </c>
      <c r="J425" t="str">
        <f t="shared" si="13"/>
        <v>update evaluasi set tahun = 1, nilai_maks = 100, nilai_input=82.06, bobot = 2, nilai_akhir = 1.6412, id_indikator = 'C020250225' where id_evaluasi = '20250032_C020250601';</v>
      </c>
      <c r="K425" s="14"/>
      <c r="P425" s="12"/>
      <c r="Q425" s="12"/>
      <c r="T425" s="13"/>
      <c r="U425" s="13"/>
    </row>
    <row r="426" spans="1:21" x14ac:dyDescent="0.35">
      <c r="A426" t="s">
        <v>503</v>
      </c>
      <c r="B426" t="s">
        <v>490</v>
      </c>
      <c r="C426" t="s">
        <v>79</v>
      </c>
      <c r="D426" t="s">
        <v>80</v>
      </c>
      <c r="E426" s="1">
        <v>1</v>
      </c>
      <c r="F426" s="1">
        <f>VLOOKUP(C426,m_indikator!$A$2:$F$30,5,TRUE)</f>
        <v>100</v>
      </c>
      <c r="G426" s="15">
        <v>82.14</v>
      </c>
      <c r="H426" s="1">
        <f>VLOOKUP(C426,m_indikator!$A$2:$F$30,6,TRUE)</f>
        <v>2</v>
      </c>
      <c r="I426" s="15">
        <f t="shared" si="12"/>
        <v>1.6428</v>
      </c>
      <c r="J426" t="str">
        <f t="shared" si="13"/>
        <v>update evaluasi set tahun = 1, nilai_maks = 100, nilai_input=82.14, bobot = 2, nilai_akhir = 1.6428, id_indikator = 'C020250225' where id_evaluasi = '20250033_C020250601';</v>
      </c>
      <c r="K426" s="14"/>
      <c r="P426" s="12"/>
      <c r="Q426" s="12"/>
    </row>
    <row r="427" spans="1:21" x14ac:dyDescent="0.35">
      <c r="A427" t="s">
        <v>504</v>
      </c>
      <c r="B427" t="s">
        <v>490</v>
      </c>
      <c r="C427" t="s">
        <v>79</v>
      </c>
      <c r="D427" t="s">
        <v>80</v>
      </c>
      <c r="E427" s="1">
        <v>1</v>
      </c>
      <c r="F427" s="1">
        <f>VLOOKUP(C427,m_indikator!$A$2:$F$30,5,TRUE)</f>
        <v>100</v>
      </c>
      <c r="G427" s="15">
        <v>85.05</v>
      </c>
      <c r="H427" s="1">
        <f>VLOOKUP(C427,m_indikator!$A$2:$F$30,6,TRUE)</f>
        <v>2</v>
      </c>
      <c r="I427" s="15">
        <f t="shared" si="12"/>
        <v>1.7009999999999998</v>
      </c>
      <c r="J427" t="str">
        <f t="shared" si="13"/>
        <v>update evaluasi set tahun = 1, nilai_maks = 100, nilai_input=85.05, bobot = 2, nilai_akhir = 1.701, id_indikator = 'C020250225' where id_evaluasi = '20250034_C020250601';</v>
      </c>
      <c r="K427" s="14"/>
      <c r="P427" s="12"/>
      <c r="Q427" s="12"/>
    </row>
    <row r="428" spans="1:21" x14ac:dyDescent="0.35">
      <c r="A428" t="s">
        <v>505</v>
      </c>
      <c r="B428" t="s">
        <v>490</v>
      </c>
      <c r="C428" t="s">
        <v>79</v>
      </c>
      <c r="D428" t="s">
        <v>80</v>
      </c>
      <c r="E428" s="1">
        <v>1</v>
      </c>
      <c r="F428" s="1">
        <f>VLOOKUP(C428,m_indikator!$A$2:$F$30,5,TRUE)</f>
        <v>100</v>
      </c>
      <c r="G428" s="15">
        <v>82.43</v>
      </c>
      <c r="H428" s="1">
        <f>VLOOKUP(C428,m_indikator!$A$2:$F$30,6,TRUE)</f>
        <v>2</v>
      </c>
      <c r="I428" s="15">
        <f t="shared" si="12"/>
        <v>1.6486000000000001</v>
      </c>
      <c r="J428" t="str">
        <f t="shared" si="13"/>
        <v>update evaluasi set tahun = 1, nilai_maks = 100, nilai_input=82.43, bobot = 2, nilai_akhir = 1.6486, id_indikator = 'C020250225' where id_evaluasi = '20250035_C020250601';</v>
      </c>
      <c r="K428" s="14"/>
      <c r="P428" s="12"/>
      <c r="Q428" s="12"/>
    </row>
    <row r="429" spans="1:21" x14ac:dyDescent="0.35">
      <c r="A429" t="s">
        <v>506</v>
      </c>
      <c r="B429" t="s">
        <v>490</v>
      </c>
      <c r="C429" t="s">
        <v>79</v>
      </c>
      <c r="D429" t="s">
        <v>80</v>
      </c>
      <c r="E429" s="1">
        <v>1</v>
      </c>
      <c r="F429" s="1">
        <f>VLOOKUP(C429,m_indikator!$A$2:$F$30,5,TRUE)</f>
        <v>100</v>
      </c>
      <c r="G429" s="15">
        <v>80.81</v>
      </c>
      <c r="H429" s="1">
        <f>VLOOKUP(C429,m_indikator!$A$2:$F$30,6,TRUE)</f>
        <v>2</v>
      </c>
      <c r="I429" s="15">
        <f t="shared" si="12"/>
        <v>1.6162000000000001</v>
      </c>
      <c r="J429" t="str">
        <f t="shared" si="13"/>
        <v>update evaluasi set tahun = 1, nilai_maks = 100, nilai_input=80.81, bobot = 2, nilai_akhir = 1.6162, id_indikator = 'C020250225' where id_evaluasi = '20250036_C020250601';</v>
      </c>
      <c r="K429" s="14"/>
      <c r="P429" s="12"/>
      <c r="Q429" s="12"/>
    </row>
    <row r="430" spans="1:21" x14ac:dyDescent="0.35">
      <c r="A430" t="s">
        <v>507</v>
      </c>
      <c r="B430" t="s">
        <v>490</v>
      </c>
      <c r="C430" t="s">
        <v>79</v>
      </c>
      <c r="D430" t="s">
        <v>80</v>
      </c>
      <c r="E430" s="1">
        <v>1</v>
      </c>
      <c r="F430" s="1">
        <f>VLOOKUP(C430,m_indikator!$A$2:$F$30,5,TRUE)</f>
        <v>100</v>
      </c>
      <c r="G430" s="15">
        <v>83.09</v>
      </c>
      <c r="H430" s="1">
        <f>VLOOKUP(C430,m_indikator!$A$2:$F$30,6,TRUE)</f>
        <v>2</v>
      </c>
      <c r="I430" s="15">
        <f t="shared" si="12"/>
        <v>1.6618000000000002</v>
      </c>
      <c r="J430" t="str">
        <f t="shared" si="13"/>
        <v>update evaluasi set tahun = 1, nilai_maks = 100, nilai_input=83.09, bobot = 2, nilai_akhir = 1.6618, id_indikator = 'C020250225' where id_evaluasi = '20250037_C020250601';</v>
      </c>
      <c r="K430" s="14"/>
      <c r="P430" s="12"/>
      <c r="Q430" s="12"/>
      <c r="T430" s="13"/>
      <c r="U430" s="13"/>
    </row>
    <row r="431" spans="1:21" x14ac:dyDescent="0.35">
      <c r="A431" t="s">
        <v>508</v>
      </c>
      <c r="B431" t="s">
        <v>490</v>
      </c>
      <c r="C431" t="s">
        <v>79</v>
      </c>
      <c r="D431" t="s">
        <v>80</v>
      </c>
      <c r="E431" s="1">
        <v>1</v>
      </c>
      <c r="F431" s="1">
        <f>VLOOKUP(C431,m_indikator!$A$2:$F$30,5,TRUE)</f>
        <v>100</v>
      </c>
      <c r="G431" s="15">
        <v>83.99</v>
      </c>
      <c r="H431" s="1">
        <f>VLOOKUP(C431,m_indikator!$A$2:$F$30,6,TRUE)</f>
        <v>2</v>
      </c>
      <c r="I431" s="15">
        <f t="shared" si="12"/>
        <v>1.6798</v>
      </c>
      <c r="J431" t="str">
        <f t="shared" si="13"/>
        <v>update evaluasi set tahun = 1, nilai_maks = 100, nilai_input=83.99, bobot = 2, nilai_akhir = 1.6798, id_indikator = 'C020250225' where id_evaluasi = '20250038_C020250601';</v>
      </c>
      <c r="K431" s="14"/>
      <c r="P431" s="12"/>
      <c r="Q431" s="12"/>
    </row>
    <row r="432" spans="1:21" x14ac:dyDescent="0.35">
      <c r="A432" t="s">
        <v>509</v>
      </c>
      <c r="B432" t="s">
        <v>490</v>
      </c>
      <c r="C432" t="s">
        <v>79</v>
      </c>
      <c r="D432" t="s">
        <v>80</v>
      </c>
      <c r="E432" s="1">
        <v>1</v>
      </c>
      <c r="F432" s="1">
        <f>VLOOKUP(C432,m_indikator!$A$2:$F$30,5,TRUE)</f>
        <v>100</v>
      </c>
      <c r="G432" s="15">
        <v>82.25</v>
      </c>
      <c r="H432" s="1">
        <f>VLOOKUP(C432,m_indikator!$A$2:$F$30,6,TRUE)</f>
        <v>2</v>
      </c>
      <c r="I432" s="15">
        <f t="shared" si="12"/>
        <v>1.645</v>
      </c>
      <c r="J432" t="str">
        <f t="shared" si="13"/>
        <v>update evaluasi set tahun = 1, nilai_maks = 100, nilai_input=82.25, bobot = 2, nilai_akhir = 1.645, id_indikator = 'C020250225' where id_evaluasi = '20250039_C020250601';</v>
      </c>
      <c r="K432" s="14"/>
      <c r="P432" s="12"/>
      <c r="Q432" s="12"/>
    </row>
    <row r="433" spans="1:17" x14ac:dyDescent="0.35">
      <c r="A433" t="s">
        <v>510</v>
      </c>
      <c r="B433" t="s">
        <v>490</v>
      </c>
      <c r="C433" t="s">
        <v>79</v>
      </c>
      <c r="D433" t="s">
        <v>80</v>
      </c>
      <c r="E433" s="1">
        <v>1</v>
      </c>
      <c r="F433" s="1">
        <f>VLOOKUP(C433,m_indikator!$A$2:$F$30,5,TRUE)</f>
        <v>100</v>
      </c>
      <c r="G433" s="15">
        <v>77.52</v>
      </c>
      <c r="H433" s="1">
        <f>VLOOKUP(C433,m_indikator!$A$2:$F$30,6,TRUE)</f>
        <v>2</v>
      </c>
      <c r="I433" s="15">
        <f t="shared" si="12"/>
        <v>1.5504</v>
      </c>
      <c r="J433" t="str">
        <f t="shared" si="13"/>
        <v>update evaluasi set tahun = 1, nilai_maks = 100, nilai_input=77.52, bobot = 2, nilai_akhir = 1.5504, id_indikator = 'C020250225' where id_evaluasi = '20250045_C020250601';</v>
      </c>
      <c r="K433" s="14"/>
      <c r="P433" s="12"/>
      <c r="Q433" s="12"/>
    </row>
    <row r="434" spans="1:17" x14ac:dyDescent="0.35">
      <c r="A434" t="s">
        <v>511</v>
      </c>
      <c r="B434" t="s">
        <v>490</v>
      </c>
      <c r="C434" t="s">
        <v>79</v>
      </c>
      <c r="D434" t="s">
        <v>80</v>
      </c>
      <c r="E434" s="1">
        <v>1</v>
      </c>
      <c r="F434" s="1">
        <f>VLOOKUP(C434,m_indikator!$A$2:$F$30,5,TRUE)</f>
        <v>100</v>
      </c>
      <c r="G434" s="15">
        <v>80.87</v>
      </c>
      <c r="H434" s="1">
        <f>VLOOKUP(C434,m_indikator!$A$2:$F$30,6,TRUE)</f>
        <v>2</v>
      </c>
      <c r="I434" s="15">
        <f t="shared" si="12"/>
        <v>1.6174000000000002</v>
      </c>
      <c r="J434" t="str">
        <f t="shared" si="13"/>
        <v>update evaluasi set tahun = 1, nilai_maks = 100, nilai_input=80.87, bobot = 2, nilai_akhir = 1.6174, id_indikator = 'C020250225' where id_evaluasi = '20250046_C020250601';</v>
      </c>
      <c r="K434" s="14"/>
      <c r="P434" s="12"/>
      <c r="Q434" s="12"/>
    </row>
    <row r="435" spans="1:17" x14ac:dyDescent="0.35">
      <c r="A435" t="s">
        <v>512</v>
      </c>
      <c r="B435" t="s">
        <v>490</v>
      </c>
      <c r="C435" t="s">
        <v>79</v>
      </c>
      <c r="D435" t="s">
        <v>80</v>
      </c>
      <c r="E435" s="1">
        <v>1</v>
      </c>
      <c r="F435" s="1">
        <f>VLOOKUP(C435,m_indikator!$A$2:$F$30,5,TRUE)</f>
        <v>100</v>
      </c>
      <c r="G435" s="15">
        <v>84.35</v>
      </c>
      <c r="H435" s="1">
        <f>VLOOKUP(C435,m_indikator!$A$2:$F$30,6,TRUE)</f>
        <v>2</v>
      </c>
      <c r="I435" s="15">
        <f t="shared" si="12"/>
        <v>1.6869999999999998</v>
      </c>
      <c r="J435" t="str">
        <f t="shared" si="13"/>
        <v>update evaluasi set tahun = 1, nilai_maks = 100, nilai_input=84.35, bobot = 2, nilai_akhir = 1.687, id_indikator = 'C020250225' where id_evaluasi = '20250047_C020250601';</v>
      </c>
      <c r="K435" s="14"/>
      <c r="P435" s="12"/>
      <c r="Q435" s="12"/>
    </row>
    <row r="436" spans="1:17" x14ac:dyDescent="0.35">
      <c r="A436" t="s">
        <v>513</v>
      </c>
      <c r="B436" t="s">
        <v>490</v>
      </c>
      <c r="C436" t="s">
        <v>79</v>
      </c>
      <c r="D436" t="s">
        <v>80</v>
      </c>
      <c r="E436" s="1">
        <v>1</v>
      </c>
      <c r="F436" s="1">
        <f>VLOOKUP(C436,m_indikator!$A$2:$F$30,5,TRUE)</f>
        <v>100</v>
      </c>
      <c r="G436" s="15">
        <v>83.84</v>
      </c>
      <c r="H436" s="1">
        <f>VLOOKUP(C436,m_indikator!$A$2:$F$30,6,TRUE)</f>
        <v>2</v>
      </c>
      <c r="I436" s="15">
        <f t="shared" si="12"/>
        <v>1.6768000000000001</v>
      </c>
      <c r="J436" t="str">
        <f t="shared" si="13"/>
        <v>update evaluasi set tahun = 1, nilai_maks = 100, nilai_input=83.84, bobot = 2, nilai_akhir = 1.6768, id_indikator = 'C020250225' where id_evaluasi = '20250048_C020250601';</v>
      </c>
      <c r="K436" s="14"/>
      <c r="P436" s="12"/>
      <c r="Q436" s="12"/>
    </row>
    <row r="437" spans="1:17" x14ac:dyDescent="0.35">
      <c r="A437" t="s">
        <v>514</v>
      </c>
      <c r="B437" t="s">
        <v>490</v>
      </c>
      <c r="C437" t="s">
        <v>79</v>
      </c>
      <c r="D437" t="s">
        <v>80</v>
      </c>
      <c r="E437" s="1">
        <v>1</v>
      </c>
      <c r="F437" s="1">
        <f>VLOOKUP(C437,m_indikator!$A$2:$F$30,5,TRUE)</f>
        <v>100</v>
      </c>
      <c r="G437" s="15">
        <v>82.77</v>
      </c>
      <c r="H437" s="1">
        <f>VLOOKUP(C437,m_indikator!$A$2:$F$30,6,TRUE)</f>
        <v>2</v>
      </c>
      <c r="I437" s="15">
        <f t="shared" si="12"/>
        <v>1.6554</v>
      </c>
      <c r="J437" t="str">
        <f t="shared" si="13"/>
        <v>update evaluasi set tahun = 1, nilai_maks = 100, nilai_input=82.77, bobot = 2, nilai_akhir = 1.6554, id_indikator = 'C020250225' where id_evaluasi = '20250049_C020250601';</v>
      </c>
      <c r="K437" s="14"/>
      <c r="P437" s="12"/>
      <c r="Q437" s="12"/>
    </row>
    <row r="438" spans="1:17" x14ac:dyDescent="0.35">
      <c r="A438" t="s">
        <v>515</v>
      </c>
      <c r="B438" t="s">
        <v>490</v>
      </c>
      <c r="C438" t="s">
        <v>79</v>
      </c>
      <c r="D438" t="s">
        <v>80</v>
      </c>
      <c r="E438" s="1">
        <v>1</v>
      </c>
      <c r="F438" s="1">
        <f>VLOOKUP(C438,m_indikator!$A$2:$F$30,5,TRUE)</f>
        <v>100</v>
      </c>
      <c r="G438" s="15">
        <v>84.02</v>
      </c>
      <c r="H438" s="1">
        <f>VLOOKUP(C438,m_indikator!$A$2:$F$30,6,TRUE)</f>
        <v>2</v>
      </c>
      <c r="I438" s="15">
        <f t="shared" si="12"/>
        <v>1.6803999999999999</v>
      </c>
      <c r="J438" t="str">
        <f t="shared" si="13"/>
        <v>update evaluasi set tahun = 1, nilai_maks = 100, nilai_input=84.02, bobot = 2, nilai_akhir = 1.6804, id_indikator = 'C020250225' where id_evaluasi = '20250050_C020250601';</v>
      </c>
      <c r="K438" s="14"/>
      <c r="P438" s="12"/>
      <c r="Q438" s="12"/>
    </row>
    <row r="439" spans="1:17" x14ac:dyDescent="0.35">
      <c r="A439" t="s">
        <v>516</v>
      </c>
      <c r="B439" t="s">
        <v>490</v>
      </c>
      <c r="C439" t="s">
        <v>79</v>
      </c>
      <c r="D439" t="s">
        <v>80</v>
      </c>
      <c r="E439" s="1">
        <v>1</v>
      </c>
      <c r="F439" s="1">
        <f>VLOOKUP(C439,m_indikator!$A$2:$F$30,5,TRUE)</f>
        <v>100</v>
      </c>
      <c r="G439" s="15">
        <v>79.78</v>
      </c>
      <c r="H439" s="1">
        <f>VLOOKUP(C439,m_indikator!$A$2:$F$30,6,TRUE)</f>
        <v>2</v>
      </c>
      <c r="I439" s="15">
        <f t="shared" si="12"/>
        <v>1.5956000000000001</v>
      </c>
      <c r="J439" t="str">
        <f t="shared" si="13"/>
        <v>update evaluasi set tahun = 1, nilai_maks = 100, nilai_input=79.78, bobot = 2, nilai_akhir = 1.5956, id_indikator = 'C020250225' where id_evaluasi = '20250051_C020250601';</v>
      </c>
      <c r="K439" s="14"/>
      <c r="P439" s="12"/>
      <c r="Q439" s="12"/>
    </row>
    <row r="440" spans="1:17" x14ac:dyDescent="0.35">
      <c r="A440" t="s">
        <v>517</v>
      </c>
      <c r="B440" t="s">
        <v>490</v>
      </c>
      <c r="C440" t="s">
        <v>79</v>
      </c>
      <c r="D440" t="s">
        <v>80</v>
      </c>
      <c r="E440" s="1">
        <v>1</v>
      </c>
      <c r="F440" s="1">
        <f>VLOOKUP(C440,m_indikator!$A$2:$F$30,5,TRUE)</f>
        <v>100</v>
      </c>
      <c r="G440" s="15">
        <v>83.74</v>
      </c>
      <c r="H440" s="1">
        <f>VLOOKUP(C440,m_indikator!$A$2:$F$30,6,TRUE)</f>
        <v>2</v>
      </c>
      <c r="I440" s="15">
        <f t="shared" si="12"/>
        <v>1.6747999999999998</v>
      </c>
      <c r="J440" t="str">
        <f t="shared" si="13"/>
        <v>update evaluasi set tahun = 1, nilai_maks = 100, nilai_input=83.74, bobot = 2, nilai_akhir = 1.6748, id_indikator = 'C020250225' where id_evaluasi = '20250052_C020250601';</v>
      </c>
      <c r="K440" s="14"/>
      <c r="P440" s="12"/>
      <c r="Q440" s="12"/>
    </row>
    <row r="441" spans="1:17" x14ac:dyDescent="0.35">
      <c r="A441" t="s">
        <v>518</v>
      </c>
      <c r="B441" t="s">
        <v>490</v>
      </c>
      <c r="C441" t="s">
        <v>79</v>
      </c>
      <c r="D441" t="s">
        <v>80</v>
      </c>
      <c r="E441" s="1">
        <v>1</v>
      </c>
      <c r="F441" s="1">
        <f>VLOOKUP(C441,m_indikator!$A$2:$F$30,5,TRUE)</f>
        <v>100</v>
      </c>
      <c r="G441" s="15">
        <v>87.52</v>
      </c>
      <c r="H441" s="1">
        <f>VLOOKUP(C441,m_indikator!$A$2:$F$30,6,TRUE)</f>
        <v>2</v>
      </c>
      <c r="I441" s="15">
        <f t="shared" si="12"/>
        <v>1.7504</v>
      </c>
      <c r="J441" t="str">
        <f t="shared" si="13"/>
        <v>update evaluasi set tahun = 1, nilai_maks = 100, nilai_input=87.52, bobot = 2, nilai_akhir = 1.7504, id_indikator = 'C020250225' where id_evaluasi = '20250053_C020250601';</v>
      </c>
      <c r="K441" s="14"/>
      <c r="P441" s="12"/>
      <c r="Q441" s="12"/>
    </row>
    <row r="442" spans="1:17" x14ac:dyDescent="0.35">
      <c r="A442" t="s">
        <v>519</v>
      </c>
      <c r="B442" t="s">
        <v>490</v>
      </c>
      <c r="C442" t="s">
        <v>79</v>
      </c>
      <c r="D442" t="s">
        <v>80</v>
      </c>
      <c r="E442" s="1">
        <v>1</v>
      </c>
      <c r="F442" s="1">
        <f>VLOOKUP(C442,m_indikator!$A$2:$F$30,5,TRUE)</f>
        <v>100</v>
      </c>
      <c r="G442" s="15">
        <v>82.41</v>
      </c>
      <c r="H442" s="1">
        <f>VLOOKUP(C442,m_indikator!$A$2:$F$30,6,TRUE)</f>
        <v>2</v>
      </c>
      <c r="I442" s="15">
        <f t="shared" si="12"/>
        <v>1.6481999999999999</v>
      </c>
      <c r="J442" t="str">
        <f t="shared" si="13"/>
        <v>update evaluasi set tahun = 1, nilai_maks = 100, nilai_input=82.41, bobot = 2, nilai_akhir = 1.6482, id_indikator = 'C020250225' where id_evaluasi = '20250054_C020250601';</v>
      </c>
      <c r="K442" s="14"/>
      <c r="P442" s="12"/>
      <c r="Q442" s="12"/>
    </row>
    <row r="443" spans="1:17" x14ac:dyDescent="0.35">
      <c r="A443" t="s">
        <v>520</v>
      </c>
      <c r="B443" t="s">
        <v>490</v>
      </c>
      <c r="C443" t="s">
        <v>79</v>
      </c>
      <c r="D443" t="s">
        <v>80</v>
      </c>
      <c r="E443" s="1">
        <v>1</v>
      </c>
      <c r="F443" s="1">
        <f>VLOOKUP(C443,m_indikator!$A$2:$F$30,5,TRUE)</f>
        <v>100</v>
      </c>
      <c r="G443" s="15">
        <v>87.98</v>
      </c>
      <c r="H443" s="1">
        <f>VLOOKUP(C443,m_indikator!$A$2:$F$30,6,TRUE)</f>
        <v>2</v>
      </c>
      <c r="I443" s="15">
        <f t="shared" si="12"/>
        <v>1.7596000000000001</v>
      </c>
      <c r="J443" t="str">
        <f t="shared" si="13"/>
        <v>update evaluasi set tahun = 1, nilai_maks = 100, nilai_input=87.98, bobot = 2, nilai_akhir = 1.7596, id_indikator = 'C020250225' where id_evaluasi = '20250055_C020250601';</v>
      </c>
      <c r="K443" s="14"/>
      <c r="P443" s="12"/>
      <c r="Q443" s="12"/>
    </row>
    <row r="444" spans="1:17" hidden="1" x14ac:dyDescent="0.35">
      <c r="A444" t="s">
        <v>539</v>
      </c>
      <c r="B444" t="s">
        <v>540</v>
      </c>
      <c r="C444" t="s">
        <v>81</v>
      </c>
      <c r="D444" t="s">
        <v>34</v>
      </c>
      <c r="E444" s="1">
        <v>1</v>
      </c>
      <c r="F444" s="1">
        <f>VLOOKUP(C444,m_indikator!$A$2:$F$30,5,TRUE)</f>
        <v>100</v>
      </c>
      <c r="G444" s="15">
        <v>90.9</v>
      </c>
      <c r="H444" s="1">
        <f>VLOOKUP(C444,m_indikator!$A$2:$F$30,6,TRUE)</f>
        <v>3</v>
      </c>
      <c r="I444" s="15">
        <f t="shared" si="12"/>
        <v>2.7270000000000003</v>
      </c>
      <c r="J444" t="str">
        <f t="shared" si="13"/>
        <v>update evaluasi set tahun = 1, nilai_maks = 100, nilai_input=90.9, bobot = 3, nilai_akhir = 2.727, id_indikator = 'C020250226' where id_evaluasi = '20250001_C020250602';</v>
      </c>
      <c r="K444" s="14"/>
      <c r="P444" s="12"/>
      <c r="Q444" s="12"/>
    </row>
    <row r="445" spans="1:17" hidden="1" x14ac:dyDescent="0.35">
      <c r="A445" t="s">
        <v>541</v>
      </c>
      <c r="B445" t="s">
        <v>540</v>
      </c>
      <c r="C445" t="s">
        <v>81</v>
      </c>
      <c r="D445" t="s">
        <v>34</v>
      </c>
      <c r="E445" s="1">
        <v>1</v>
      </c>
      <c r="F445" s="1">
        <f>VLOOKUP(C445,m_indikator!$A$2:$F$30,5,TRUE)</f>
        <v>100</v>
      </c>
      <c r="G445" s="15">
        <v>86.12</v>
      </c>
      <c r="H445" s="1">
        <f>VLOOKUP(C445,m_indikator!$A$2:$F$30,6,TRUE)</f>
        <v>3</v>
      </c>
      <c r="I445" s="15">
        <f t="shared" si="12"/>
        <v>2.5836000000000001</v>
      </c>
      <c r="J445" t="str">
        <f t="shared" si="13"/>
        <v>update evaluasi set tahun = 1, nilai_maks = 100, nilai_input=86.12, bobot = 3, nilai_akhir = 2.5836, id_indikator = 'C020250226' where id_evaluasi = '20250002_C020250602';</v>
      </c>
      <c r="K445" s="14"/>
      <c r="P445" s="12"/>
      <c r="Q445" s="12"/>
    </row>
    <row r="446" spans="1:17" hidden="1" x14ac:dyDescent="0.35">
      <c r="A446" t="s">
        <v>542</v>
      </c>
      <c r="B446" t="s">
        <v>540</v>
      </c>
      <c r="C446" t="s">
        <v>81</v>
      </c>
      <c r="D446" t="s">
        <v>34</v>
      </c>
      <c r="E446" s="1">
        <v>1</v>
      </c>
      <c r="F446" s="1">
        <f>VLOOKUP(C446,m_indikator!$A$2:$F$30,5,TRUE)</f>
        <v>100</v>
      </c>
      <c r="G446" s="15">
        <v>84.36</v>
      </c>
      <c r="H446" s="1">
        <f>VLOOKUP(C446,m_indikator!$A$2:$F$30,6,TRUE)</f>
        <v>3</v>
      </c>
      <c r="I446" s="15">
        <f t="shared" si="12"/>
        <v>2.5308000000000002</v>
      </c>
      <c r="J446" t="str">
        <f t="shared" si="13"/>
        <v>update evaluasi set tahun = 1, nilai_maks = 100, nilai_input=84.36, bobot = 3, nilai_akhir = 2.5308, id_indikator = 'C020250226' where id_evaluasi = '20250003_C020250602';</v>
      </c>
      <c r="K446" s="14"/>
      <c r="P446" s="12"/>
      <c r="Q446" s="12"/>
    </row>
    <row r="447" spans="1:17" hidden="1" x14ac:dyDescent="0.35">
      <c r="A447" t="s">
        <v>543</v>
      </c>
      <c r="B447" t="s">
        <v>540</v>
      </c>
      <c r="C447" t="s">
        <v>81</v>
      </c>
      <c r="D447" t="s">
        <v>34</v>
      </c>
      <c r="E447" s="1">
        <v>1</v>
      </c>
      <c r="F447" s="1">
        <f>VLOOKUP(C447,m_indikator!$A$2:$F$30,5,TRUE)</f>
        <v>100</v>
      </c>
      <c r="G447" s="15">
        <v>91.22</v>
      </c>
      <c r="H447" s="1">
        <f>VLOOKUP(C447,m_indikator!$A$2:$F$30,6,TRUE)</f>
        <v>3</v>
      </c>
      <c r="I447" s="15">
        <f t="shared" si="12"/>
        <v>2.7366000000000001</v>
      </c>
      <c r="J447" t="str">
        <f t="shared" si="13"/>
        <v>update evaluasi set tahun = 1, nilai_maks = 100, nilai_input=91.22, bobot = 3, nilai_akhir = 2.7366, id_indikator = 'C020250226' where id_evaluasi = '20250004_C020250602';</v>
      </c>
      <c r="K447" s="14"/>
      <c r="P447" s="12"/>
      <c r="Q447" s="12"/>
    </row>
    <row r="448" spans="1:17" hidden="1" x14ac:dyDescent="0.35">
      <c r="A448" t="s">
        <v>544</v>
      </c>
      <c r="B448" t="s">
        <v>540</v>
      </c>
      <c r="C448" t="s">
        <v>81</v>
      </c>
      <c r="D448" t="s">
        <v>34</v>
      </c>
      <c r="E448" s="1">
        <v>1</v>
      </c>
      <c r="F448" s="1">
        <f>VLOOKUP(C448,m_indikator!$A$2:$F$30,5,TRUE)</f>
        <v>100</v>
      </c>
      <c r="G448" s="15">
        <v>87.48</v>
      </c>
      <c r="H448" s="1">
        <f>VLOOKUP(C448,m_indikator!$A$2:$F$30,6,TRUE)</f>
        <v>3</v>
      </c>
      <c r="I448" s="15">
        <f t="shared" si="12"/>
        <v>2.6244000000000001</v>
      </c>
      <c r="J448" t="str">
        <f t="shared" si="13"/>
        <v>update evaluasi set tahun = 1, nilai_maks = 100, nilai_input=87.48, bobot = 3, nilai_akhir = 2.6244, id_indikator = 'C020250226' where id_evaluasi = '20250005_C020250602';</v>
      </c>
      <c r="K448" s="14"/>
      <c r="P448" s="12"/>
      <c r="Q448" s="12"/>
    </row>
    <row r="449" spans="1:17" hidden="1" x14ac:dyDescent="0.35">
      <c r="A449" t="s">
        <v>545</v>
      </c>
      <c r="B449" t="s">
        <v>540</v>
      </c>
      <c r="C449" t="s">
        <v>81</v>
      </c>
      <c r="D449" t="s">
        <v>34</v>
      </c>
      <c r="E449" s="1">
        <v>1</v>
      </c>
      <c r="F449" s="1">
        <f>VLOOKUP(C449,m_indikator!$A$2:$F$30,5,TRUE)</f>
        <v>100</v>
      </c>
      <c r="G449" s="15">
        <v>91.92</v>
      </c>
      <c r="H449" s="1">
        <f>VLOOKUP(C449,m_indikator!$A$2:$F$30,6,TRUE)</f>
        <v>3</v>
      </c>
      <c r="I449" s="15">
        <f t="shared" si="12"/>
        <v>2.7576000000000001</v>
      </c>
      <c r="J449" t="str">
        <f t="shared" si="13"/>
        <v>update evaluasi set tahun = 1, nilai_maks = 100, nilai_input=91.92, bobot = 3, nilai_akhir = 2.7576, id_indikator = 'C020250226' where id_evaluasi = '20250006_C020250602';</v>
      </c>
      <c r="K449" s="14"/>
      <c r="P449" s="12"/>
      <c r="Q449" s="12"/>
    </row>
    <row r="450" spans="1:17" hidden="1" x14ac:dyDescent="0.35">
      <c r="A450" t="s">
        <v>546</v>
      </c>
      <c r="B450" t="s">
        <v>540</v>
      </c>
      <c r="C450" t="s">
        <v>81</v>
      </c>
      <c r="D450" t="s">
        <v>34</v>
      </c>
      <c r="E450" s="1">
        <v>1</v>
      </c>
      <c r="F450" s="1">
        <f>VLOOKUP(C450,m_indikator!$A$2:$F$30,5,TRUE)</f>
        <v>100</v>
      </c>
      <c r="G450" s="15">
        <v>86.81</v>
      </c>
      <c r="H450" s="1">
        <f>VLOOKUP(C450,m_indikator!$A$2:$F$30,6,TRUE)</f>
        <v>3</v>
      </c>
      <c r="I450" s="15">
        <f t="shared" ref="I450:I513" si="14">(G450/F450)*H450</f>
        <v>2.6042999999999998</v>
      </c>
      <c r="J450" t="str">
        <f t="shared" ref="J450:J513" si="15">"update evaluasi set tahun = "&amp;E450&amp;", nilai_maks = "&amp;F450&amp;", nilai_input="&amp;G450&amp;", bobot = "&amp;H450&amp;", nilai_akhir = "&amp;I450&amp;", id_indikator = '"&amp;C450&amp;"' where id_evaluasi = '"&amp;A450&amp;"';"</f>
        <v>update evaluasi set tahun = 1, nilai_maks = 100, nilai_input=86.81, bobot = 3, nilai_akhir = 2.6043, id_indikator = 'C020250226' where id_evaluasi = '20250007_C020250602';</v>
      </c>
      <c r="K450" s="14"/>
      <c r="P450" s="12"/>
      <c r="Q450" s="12"/>
    </row>
    <row r="451" spans="1:17" hidden="1" x14ac:dyDescent="0.35">
      <c r="A451" t="s">
        <v>547</v>
      </c>
      <c r="B451" t="s">
        <v>540</v>
      </c>
      <c r="C451" t="s">
        <v>81</v>
      </c>
      <c r="D451" t="s">
        <v>34</v>
      </c>
      <c r="E451" s="1">
        <v>1</v>
      </c>
      <c r="F451" s="1">
        <f>VLOOKUP(C451,m_indikator!$A$2:$F$30,5,TRUE)</f>
        <v>100</v>
      </c>
      <c r="G451" s="15">
        <v>89.04</v>
      </c>
      <c r="H451" s="1">
        <f>VLOOKUP(C451,m_indikator!$A$2:$F$30,6,TRUE)</f>
        <v>3</v>
      </c>
      <c r="I451" s="15">
        <f t="shared" si="14"/>
        <v>2.6712000000000002</v>
      </c>
      <c r="J451" t="str">
        <f t="shared" si="15"/>
        <v>update evaluasi set tahun = 1, nilai_maks = 100, nilai_input=89.04, bobot = 3, nilai_akhir = 2.6712, id_indikator = 'C020250226' where id_evaluasi = '20250008_C020250602';</v>
      </c>
      <c r="K451" s="14"/>
      <c r="P451" s="12"/>
      <c r="Q451" s="12"/>
    </row>
    <row r="452" spans="1:17" hidden="1" x14ac:dyDescent="0.35">
      <c r="A452" t="s">
        <v>548</v>
      </c>
      <c r="B452" t="s">
        <v>540</v>
      </c>
      <c r="C452" t="s">
        <v>81</v>
      </c>
      <c r="D452" t="s">
        <v>34</v>
      </c>
      <c r="E452" s="1">
        <v>1</v>
      </c>
      <c r="F452" s="1">
        <f>VLOOKUP(C452,m_indikator!$A$2:$F$30,5,TRUE)</f>
        <v>100</v>
      </c>
      <c r="G452" s="15">
        <v>85.31</v>
      </c>
      <c r="H452" s="1">
        <f>VLOOKUP(C452,m_indikator!$A$2:$F$30,6,TRUE)</f>
        <v>3</v>
      </c>
      <c r="I452" s="15">
        <f t="shared" si="14"/>
        <v>2.5592999999999999</v>
      </c>
      <c r="J452" t="str">
        <f t="shared" si="15"/>
        <v>update evaluasi set tahun = 1, nilai_maks = 100, nilai_input=85.31, bobot = 3, nilai_akhir = 2.5593, id_indikator = 'C020250226' where id_evaluasi = '20250009_C020250602';</v>
      </c>
      <c r="K452" s="14"/>
      <c r="P452" s="12"/>
      <c r="Q452" s="12"/>
    </row>
    <row r="453" spans="1:17" hidden="1" x14ac:dyDescent="0.35">
      <c r="A453" t="s">
        <v>549</v>
      </c>
      <c r="B453" t="s">
        <v>540</v>
      </c>
      <c r="C453" t="s">
        <v>81</v>
      </c>
      <c r="D453" t="s">
        <v>34</v>
      </c>
      <c r="E453" s="1">
        <v>1</v>
      </c>
      <c r="F453" s="1">
        <f>VLOOKUP(C453,m_indikator!$A$2:$F$30,5,TRUE)</f>
        <v>100</v>
      </c>
      <c r="G453" s="15">
        <v>88.75</v>
      </c>
      <c r="H453" s="1">
        <f>VLOOKUP(C453,m_indikator!$A$2:$F$30,6,TRUE)</f>
        <v>3</v>
      </c>
      <c r="I453" s="15">
        <f t="shared" si="14"/>
        <v>2.6624999999999996</v>
      </c>
      <c r="J453" t="str">
        <f t="shared" si="15"/>
        <v>update evaluasi set tahun = 1, nilai_maks = 100, nilai_input=88.75, bobot = 3, nilai_akhir = 2.6625, id_indikator = 'C020250226' where id_evaluasi = '20250010_C020250602';</v>
      </c>
      <c r="K453" s="14"/>
      <c r="P453" s="12"/>
      <c r="Q453" s="12"/>
    </row>
    <row r="454" spans="1:17" hidden="1" x14ac:dyDescent="0.35">
      <c r="A454" t="s">
        <v>550</v>
      </c>
      <c r="B454" t="s">
        <v>540</v>
      </c>
      <c r="C454" t="s">
        <v>81</v>
      </c>
      <c r="D454" t="s">
        <v>34</v>
      </c>
      <c r="E454" s="1">
        <v>1</v>
      </c>
      <c r="F454" s="1">
        <f>VLOOKUP(C454,m_indikator!$A$2:$F$30,5,TRUE)</f>
        <v>100</v>
      </c>
      <c r="G454" s="15">
        <v>88.95</v>
      </c>
      <c r="H454" s="1">
        <f>VLOOKUP(C454,m_indikator!$A$2:$F$30,6,TRUE)</f>
        <v>3</v>
      </c>
      <c r="I454" s="15">
        <f t="shared" si="14"/>
        <v>2.6685000000000003</v>
      </c>
      <c r="J454" t="str">
        <f t="shared" si="15"/>
        <v>update evaluasi set tahun = 1, nilai_maks = 100, nilai_input=88.95, bobot = 3, nilai_akhir = 2.6685, id_indikator = 'C020250226' where id_evaluasi = '20250011_C020250602';</v>
      </c>
      <c r="K454" s="14"/>
      <c r="P454" s="12"/>
      <c r="Q454" s="12"/>
    </row>
    <row r="455" spans="1:17" hidden="1" x14ac:dyDescent="0.35">
      <c r="A455" t="s">
        <v>551</v>
      </c>
      <c r="B455" t="s">
        <v>540</v>
      </c>
      <c r="C455" t="s">
        <v>81</v>
      </c>
      <c r="D455" t="s">
        <v>34</v>
      </c>
      <c r="E455" s="1">
        <v>1</v>
      </c>
      <c r="F455" s="1">
        <f>VLOOKUP(C455,m_indikator!$A$2:$F$30,5,TRUE)</f>
        <v>100</v>
      </c>
      <c r="G455" s="15">
        <v>87.28</v>
      </c>
      <c r="H455" s="1">
        <f>VLOOKUP(C455,m_indikator!$A$2:$F$30,6,TRUE)</f>
        <v>3</v>
      </c>
      <c r="I455" s="15">
        <f t="shared" si="14"/>
        <v>2.6184000000000003</v>
      </c>
      <c r="J455" t="str">
        <f t="shared" si="15"/>
        <v>update evaluasi set tahun = 1, nilai_maks = 100, nilai_input=87.28, bobot = 3, nilai_akhir = 2.6184, id_indikator = 'C020250226' where id_evaluasi = '20250012_C020250602';</v>
      </c>
      <c r="K455" s="14"/>
      <c r="P455" s="12"/>
      <c r="Q455" s="12"/>
    </row>
    <row r="456" spans="1:17" hidden="1" x14ac:dyDescent="0.35">
      <c r="A456" t="s">
        <v>552</v>
      </c>
      <c r="B456" t="s">
        <v>540</v>
      </c>
      <c r="C456" t="s">
        <v>81</v>
      </c>
      <c r="D456" t="s">
        <v>34</v>
      </c>
      <c r="E456" s="1">
        <v>1</v>
      </c>
      <c r="F456" s="1">
        <f>VLOOKUP(C456,m_indikator!$A$2:$F$30,5,TRUE)</f>
        <v>100</v>
      </c>
      <c r="G456" s="15">
        <v>86.12</v>
      </c>
      <c r="H456" s="1">
        <f>VLOOKUP(C456,m_indikator!$A$2:$F$30,6,TRUE)</f>
        <v>3</v>
      </c>
      <c r="I456" s="15">
        <f t="shared" si="14"/>
        <v>2.5836000000000001</v>
      </c>
      <c r="J456" t="str">
        <f t="shared" si="15"/>
        <v>update evaluasi set tahun = 1, nilai_maks = 100, nilai_input=86.12, bobot = 3, nilai_akhir = 2.5836, id_indikator = 'C020250226' where id_evaluasi = '20250013_C020250602';</v>
      </c>
      <c r="K456" s="14"/>
      <c r="P456" s="12"/>
      <c r="Q456" s="12"/>
    </row>
    <row r="457" spans="1:17" hidden="1" x14ac:dyDescent="0.35">
      <c r="A457" t="s">
        <v>553</v>
      </c>
      <c r="B457" t="s">
        <v>540</v>
      </c>
      <c r="C457" t="s">
        <v>81</v>
      </c>
      <c r="D457" t="s">
        <v>34</v>
      </c>
      <c r="E457" s="1">
        <v>1</v>
      </c>
      <c r="F457" s="1">
        <f>VLOOKUP(C457,m_indikator!$A$2:$F$30,5,TRUE)</f>
        <v>100</v>
      </c>
      <c r="G457" s="15">
        <v>87.71</v>
      </c>
      <c r="H457" s="1">
        <f>VLOOKUP(C457,m_indikator!$A$2:$F$30,6,TRUE)</f>
        <v>3</v>
      </c>
      <c r="I457" s="15">
        <f t="shared" si="14"/>
        <v>2.6313</v>
      </c>
      <c r="J457" t="str">
        <f t="shared" si="15"/>
        <v>update evaluasi set tahun = 1, nilai_maks = 100, nilai_input=87.71, bobot = 3, nilai_akhir = 2.6313, id_indikator = 'C020250226' where id_evaluasi = '20250014_C020250602';</v>
      </c>
      <c r="K457" s="14"/>
      <c r="P457" s="12"/>
      <c r="Q457" s="12"/>
    </row>
    <row r="458" spans="1:17" hidden="1" x14ac:dyDescent="0.35">
      <c r="A458" t="s">
        <v>554</v>
      </c>
      <c r="B458" t="s">
        <v>540</v>
      </c>
      <c r="C458" t="s">
        <v>81</v>
      </c>
      <c r="D458" t="s">
        <v>34</v>
      </c>
      <c r="E458" s="1">
        <v>1</v>
      </c>
      <c r="F458" s="1">
        <f>VLOOKUP(C458,m_indikator!$A$2:$F$30,5,TRUE)</f>
        <v>100</v>
      </c>
      <c r="G458" s="15">
        <v>90.19</v>
      </c>
      <c r="H458" s="1">
        <f>VLOOKUP(C458,m_indikator!$A$2:$F$30,6,TRUE)</f>
        <v>3</v>
      </c>
      <c r="I458" s="15">
        <f t="shared" si="14"/>
        <v>2.7056999999999998</v>
      </c>
      <c r="J458" t="str">
        <f t="shared" si="15"/>
        <v>update evaluasi set tahun = 1, nilai_maks = 100, nilai_input=90.19, bobot = 3, nilai_akhir = 2.7057, id_indikator = 'C020250226' where id_evaluasi = '20250015_C020250602';</v>
      </c>
      <c r="K458" s="14"/>
      <c r="P458" s="12"/>
      <c r="Q458" s="12"/>
    </row>
    <row r="459" spans="1:17" hidden="1" x14ac:dyDescent="0.35">
      <c r="A459" t="s">
        <v>555</v>
      </c>
      <c r="B459" t="s">
        <v>540</v>
      </c>
      <c r="C459" t="s">
        <v>81</v>
      </c>
      <c r="D459" t="s">
        <v>34</v>
      </c>
      <c r="E459" s="1">
        <v>1</v>
      </c>
      <c r="F459" s="1">
        <f>VLOOKUP(C459,m_indikator!$A$2:$F$30,5,TRUE)</f>
        <v>100</v>
      </c>
      <c r="G459" s="15">
        <v>86.06</v>
      </c>
      <c r="H459" s="1">
        <f>VLOOKUP(C459,m_indikator!$A$2:$F$30,6,TRUE)</f>
        <v>3</v>
      </c>
      <c r="I459" s="15">
        <f t="shared" si="14"/>
        <v>2.5818000000000003</v>
      </c>
      <c r="J459" t="str">
        <f t="shared" si="15"/>
        <v>update evaluasi set tahun = 1, nilai_maks = 100, nilai_input=86.06, bobot = 3, nilai_akhir = 2.5818, id_indikator = 'C020250226' where id_evaluasi = '20250016_C020250602';</v>
      </c>
      <c r="K459" s="14"/>
      <c r="P459" s="12"/>
      <c r="Q459" s="12"/>
    </row>
    <row r="460" spans="1:17" hidden="1" x14ac:dyDescent="0.35">
      <c r="A460" t="s">
        <v>556</v>
      </c>
      <c r="B460" t="s">
        <v>540</v>
      </c>
      <c r="C460" t="s">
        <v>81</v>
      </c>
      <c r="D460" t="s">
        <v>34</v>
      </c>
      <c r="E460" s="1">
        <v>1</v>
      </c>
      <c r="F460" s="1">
        <f>VLOOKUP(C460,m_indikator!$A$2:$F$30,5,TRUE)</f>
        <v>100</v>
      </c>
      <c r="G460" s="15">
        <v>84.79</v>
      </c>
      <c r="H460" s="1">
        <f>VLOOKUP(C460,m_indikator!$A$2:$F$30,6,TRUE)</f>
        <v>3</v>
      </c>
      <c r="I460" s="15">
        <f t="shared" si="14"/>
        <v>2.5437000000000003</v>
      </c>
      <c r="J460" t="str">
        <f t="shared" si="15"/>
        <v>update evaluasi set tahun = 1, nilai_maks = 100, nilai_input=84.79, bobot = 3, nilai_akhir = 2.5437, id_indikator = 'C020250226' where id_evaluasi = '20250017_C020250602';</v>
      </c>
      <c r="K460" s="14"/>
      <c r="P460" s="12"/>
      <c r="Q460" s="12"/>
    </row>
    <row r="461" spans="1:17" hidden="1" x14ac:dyDescent="0.35">
      <c r="A461" t="s">
        <v>557</v>
      </c>
      <c r="B461" t="s">
        <v>540</v>
      </c>
      <c r="C461" t="s">
        <v>81</v>
      </c>
      <c r="D461" t="s">
        <v>34</v>
      </c>
      <c r="E461" s="1">
        <v>1</v>
      </c>
      <c r="F461" s="1">
        <f>VLOOKUP(C461,m_indikator!$A$2:$F$30,5,TRUE)</f>
        <v>100</v>
      </c>
      <c r="G461" s="15">
        <v>88.13</v>
      </c>
      <c r="H461" s="1">
        <f>VLOOKUP(C461,m_indikator!$A$2:$F$30,6,TRUE)</f>
        <v>3</v>
      </c>
      <c r="I461" s="15">
        <f t="shared" si="14"/>
        <v>2.6438999999999999</v>
      </c>
      <c r="J461" t="str">
        <f t="shared" si="15"/>
        <v>update evaluasi set tahun = 1, nilai_maks = 100, nilai_input=88.13, bobot = 3, nilai_akhir = 2.6439, id_indikator = 'C020250226' where id_evaluasi = '20250018_C020250602';</v>
      </c>
      <c r="K461" s="14"/>
      <c r="P461" s="12"/>
      <c r="Q461" s="12"/>
    </row>
    <row r="462" spans="1:17" hidden="1" x14ac:dyDescent="0.35">
      <c r="A462" t="s">
        <v>558</v>
      </c>
      <c r="B462" t="s">
        <v>540</v>
      </c>
      <c r="C462" t="s">
        <v>81</v>
      </c>
      <c r="D462" t="s">
        <v>34</v>
      </c>
      <c r="E462" s="1">
        <v>1</v>
      </c>
      <c r="F462" s="1">
        <f>VLOOKUP(C462,m_indikator!$A$2:$F$30,5,TRUE)</f>
        <v>100</v>
      </c>
      <c r="G462" s="15">
        <v>86.54</v>
      </c>
      <c r="H462" s="1">
        <f>VLOOKUP(C462,m_indikator!$A$2:$F$30,6,TRUE)</f>
        <v>3</v>
      </c>
      <c r="I462" s="15">
        <f t="shared" si="14"/>
        <v>2.5962000000000001</v>
      </c>
      <c r="J462" t="str">
        <f t="shared" si="15"/>
        <v>update evaluasi set tahun = 1, nilai_maks = 100, nilai_input=86.54, bobot = 3, nilai_akhir = 2.5962, id_indikator = 'C020250226' where id_evaluasi = '20250019_C020250602';</v>
      </c>
      <c r="K462" s="14"/>
      <c r="P462" s="12"/>
      <c r="Q462" s="12"/>
    </row>
    <row r="463" spans="1:17" hidden="1" x14ac:dyDescent="0.35">
      <c r="A463" t="s">
        <v>559</v>
      </c>
      <c r="B463" t="s">
        <v>540</v>
      </c>
      <c r="C463" t="s">
        <v>81</v>
      </c>
      <c r="D463" t="s">
        <v>34</v>
      </c>
      <c r="E463" s="1">
        <v>1</v>
      </c>
      <c r="F463" s="1">
        <f>VLOOKUP(C463,m_indikator!$A$2:$F$30,5,TRUE)</f>
        <v>100</v>
      </c>
      <c r="G463" s="15">
        <v>85.08</v>
      </c>
      <c r="H463" s="1">
        <f>VLOOKUP(C463,m_indikator!$A$2:$F$30,6,TRUE)</f>
        <v>3</v>
      </c>
      <c r="I463" s="15">
        <f t="shared" si="14"/>
        <v>2.5524</v>
      </c>
      <c r="J463" t="str">
        <f t="shared" si="15"/>
        <v>update evaluasi set tahun = 1, nilai_maks = 100, nilai_input=85.08, bobot = 3, nilai_akhir = 2.5524, id_indikator = 'C020250226' where id_evaluasi = '20250020_C020250602';</v>
      </c>
      <c r="K463" s="14"/>
      <c r="P463" s="12"/>
      <c r="Q463" s="12"/>
    </row>
    <row r="464" spans="1:17" hidden="1" x14ac:dyDescent="0.35">
      <c r="A464" t="s">
        <v>560</v>
      </c>
      <c r="B464" t="s">
        <v>540</v>
      </c>
      <c r="C464" t="s">
        <v>81</v>
      </c>
      <c r="D464" t="s">
        <v>34</v>
      </c>
      <c r="E464" s="1">
        <v>1</v>
      </c>
      <c r="F464" s="1">
        <f>VLOOKUP(C464,m_indikator!$A$2:$F$30,5,TRUE)</f>
        <v>100</v>
      </c>
      <c r="G464" s="15">
        <v>91.76</v>
      </c>
      <c r="H464" s="1">
        <f>VLOOKUP(C464,m_indikator!$A$2:$F$30,6,TRUE)</f>
        <v>3</v>
      </c>
      <c r="I464" s="15">
        <f t="shared" si="14"/>
        <v>2.7528000000000001</v>
      </c>
      <c r="J464" t="str">
        <f t="shared" si="15"/>
        <v>update evaluasi set tahun = 1, nilai_maks = 100, nilai_input=91.76, bobot = 3, nilai_akhir = 2.7528, id_indikator = 'C020250226' where id_evaluasi = '20250021_C020250602';</v>
      </c>
      <c r="K464" s="14"/>
      <c r="P464" s="12"/>
      <c r="Q464" s="12"/>
    </row>
    <row r="465" spans="1:17" hidden="1" x14ac:dyDescent="0.35">
      <c r="A465" t="s">
        <v>561</v>
      </c>
      <c r="B465" t="s">
        <v>540</v>
      </c>
      <c r="C465" t="s">
        <v>81</v>
      </c>
      <c r="D465" t="s">
        <v>34</v>
      </c>
      <c r="E465" s="1">
        <v>1</v>
      </c>
      <c r="F465" s="1">
        <f>VLOOKUP(C465,m_indikator!$A$2:$F$30,5,TRUE)</f>
        <v>100</v>
      </c>
      <c r="G465" s="15">
        <v>89.61</v>
      </c>
      <c r="H465" s="1">
        <f>VLOOKUP(C465,m_indikator!$A$2:$F$30,6,TRUE)</f>
        <v>3</v>
      </c>
      <c r="I465" s="15">
        <f t="shared" si="14"/>
        <v>2.6882999999999999</v>
      </c>
      <c r="J465" t="str">
        <f t="shared" si="15"/>
        <v>update evaluasi set tahun = 1, nilai_maks = 100, nilai_input=89.61, bobot = 3, nilai_akhir = 2.6883, id_indikator = 'C020250226' where id_evaluasi = '20250022_C020250602';</v>
      </c>
      <c r="K465" s="14"/>
      <c r="P465" s="12"/>
      <c r="Q465" s="12"/>
    </row>
    <row r="466" spans="1:17" hidden="1" x14ac:dyDescent="0.35">
      <c r="A466" t="s">
        <v>562</v>
      </c>
      <c r="B466" t="s">
        <v>540</v>
      </c>
      <c r="C466" t="s">
        <v>81</v>
      </c>
      <c r="D466" t="s">
        <v>34</v>
      </c>
      <c r="E466" s="1">
        <v>1</v>
      </c>
      <c r="F466" s="1">
        <f>VLOOKUP(C466,m_indikator!$A$2:$F$30,5,TRUE)</f>
        <v>100</v>
      </c>
      <c r="G466" s="15">
        <v>86.3</v>
      </c>
      <c r="H466" s="1">
        <f>VLOOKUP(C466,m_indikator!$A$2:$F$30,6,TRUE)</f>
        <v>3</v>
      </c>
      <c r="I466" s="15">
        <f t="shared" si="14"/>
        <v>2.589</v>
      </c>
      <c r="J466" t="str">
        <f t="shared" si="15"/>
        <v>update evaluasi set tahun = 1, nilai_maks = 100, nilai_input=86.3, bobot = 3, nilai_akhir = 2.589, id_indikator = 'C020250226' where id_evaluasi = '20250023_C020250602';</v>
      </c>
      <c r="K466" s="14"/>
      <c r="P466" s="12"/>
      <c r="Q466" s="12"/>
    </row>
    <row r="467" spans="1:17" hidden="1" x14ac:dyDescent="0.35">
      <c r="A467" t="s">
        <v>563</v>
      </c>
      <c r="B467" t="s">
        <v>540</v>
      </c>
      <c r="C467" t="s">
        <v>81</v>
      </c>
      <c r="D467" t="s">
        <v>34</v>
      </c>
      <c r="E467" s="1">
        <v>1</v>
      </c>
      <c r="F467" s="1">
        <f>VLOOKUP(C467,m_indikator!$A$2:$F$30,5,TRUE)</f>
        <v>100</v>
      </c>
      <c r="G467" s="15">
        <v>86.88</v>
      </c>
      <c r="H467" s="1">
        <f>VLOOKUP(C467,m_indikator!$A$2:$F$30,6,TRUE)</f>
        <v>3</v>
      </c>
      <c r="I467" s="15">
        <f t="shared" si="14"/>
        <v>2.6063999999999998</v>
      </c>
      <c r="J467" t="str">
        <f t="shared" si="15"/>
        <v>update evaluasi set tahun = 1, nilai_maks = 100, nilai_input=86.88, bobot = 3, nilai_akhir = 2.6064, id_indikator = 'C020250226' where id_evaluasi = '20250024_C020250602';</v>
      </c>
      <c r="K467" s="14"/>
      <c r="P467" s="12"/>
      <c r="Q467" s="12"/>
    </row>
    <row r="468" spans="1:17" hidden="1" x14ac:dyDescent="0.35">
      <c r="A468" t="s">
        <v>564</v>
      </c>
      <c r="B468" t="s">
        <v>540</v>
      </c>
      <c r="C468" t="s">
        <v>81</v>
      </c>
      <c r="D468" t="s">
        <v>34</v>
      </c>
      <c r="E468" s="1">
        <v>1</v>
      </c>
      <c r="F468" s="1">
        <f>VLOOKUP(C468,m_indikator!$A$2:$F$30,5,TRUE)</f>
        <v>100</v>
      </c>
      <c r="G468" s="15">
        <v>89.05</v>
      </c>
      <c r="H468" s="1">
        <f>VLOOKUP(C468,m_indikator!$A$2:$F$30,6,TRUE)</f>
        <v>3</v>
      </c>
      <c r="I468" s="15">
        <f t="shared" si="14"/>
        <v>2.6715</v>
      </c>
      <c r="J468" t="str">
        <f t="shared" si="15"/>
        <v>update evaluasi set tahun = 1, nilai_maks = 100, nilai_input=89.05, bobot = 3, nilai_akhir = 2.6715, id_indikator = 'C020250226' where id_evaluasi = '20250025_C020250602';</v>
      </c>
      <c r="K468" s="14"/>
      <c r="P468" s="12"/>
      <c r="Q468" s="12"/>
    </row>
    <row r="469" spans="1:17" hidden="1" x14ac:dyDescent="0.35">
      <c r="A469" t="s">
        <v>565</v>
      </c>
      <c r="B469" t="s">
        <v>540</v>
      </c>
      <c r="C469" t="s">
        <v>81</v>
      </c>
      <c r="D469" t="s">
        <v>34</v>
      </c>
      <c r="E469" s="1">
        <v>1</v>
      </c>
      <c r="F469" s="1">
        <f>VLOOKUP(C469,m_indikator!$A$2:$F$30,5,TRUE)</f>
        <v>100</v>
      </c>
      <c r="G469" s="15">
        <v>86.87</v>
      </c>
      <c r="H469" s="1">
        <f>VLOOKUP(C469,m_indikator!$A$2:$F$30,6,TRUE)</f>
        <v>3</v>
      </c>
      <c r="I469" s="15">
        <f t="shared" si="14"/>
        <v>2.6061000000000001</v>
      </c>
      <c r="J469" t="str">
        <f t="shared" si="15"/>
        <v>update evaluasi set tahun = 1, nilai_maks = 100, nilai_input=86.87, bobot = 3, nilai_akhir = 2.6061, id_indikator = 'C020250226' where id_evaluasi = '20250026_C020250602';</v>
      </c>
      <c r="K469" s="14"/>
      <c r="P469" s="12"/>
      <c r="Q469" s="12"/>
    </row>
    <row r="470" spans="1:17" hidden="1" x14ac:dyDescent="0.35">
      <c r="A470" t="s">
        <v>566</v>
      </c>
      <c r="B470" t="s">
        <v>540</v>
      </c>
      <c r="C470" t="s">
        <v>81</v>
      </c>
      <c r="D470" t="s">
        <v>34</v>
      </c>
      <c r="E470" s="1">
        <v>1</v>
      </c>
      <c r="F470" s="1">
        <f>VLOOKUP(C470,m_indikator!$A$2:$F$30,5,TRUE)</f>
        <v>100</v>
      </c>
      <c r="G470" s="15">
        <v>86.44</v>
      </c>
      <c r="H470" s="1">
        <f>VLOOKUP(C470,m_indikator!$A$2:$F$30,6,TRUE)</f>
        <v>3</v>
      </c>
      <c r="I470" s="15">
        <f t="shared" si="14"/>
        <v>2.5931999999999999</v>
      </c>
      <c r="J470" t="str">
        <f t="shared" si="15"/>
        <v>update evaluasi set tahun = 1, nilai_maks = 100, nilai_input=86.44, bobot = 3, nilai_akhir = 2.5932, id_indikator = 'C020250226' where id_evaluasi = '20250027_C020250602';</v>
      </c>
      <c r="K470" s="14"/>
      <c r="P470" s="12"/>
      <c r="Q470" s="12"/>
    </row>
    <row r="471" spans="1:17" hidden="1" x14ac:dyDescent="0.35">
      <c r="A471" t="s">
        <v>567</v>
      </c>
      <c r="B471" t="s">
        <v>540</v>
      </c>
      <c r="C471" t="s">
        <v>81</v>
      </c>
      <c r="D471" t="s">
        <v>34</v>
      </c>
      <c r="E471" s="1">
        <v>1</v>
      </c>
      <c r="F471" s="1">
        <f>VLOOKUP(C471,m_indikator!$A$2:$F$30,5,TRUE)</f>
        <v>100</v>
      </c>
      <c r="G471" s="15">
        <v>86.41</v>
      </c>
      <c r="H471" s="1">
        <f>VLOOKUP(C471,m_indikator!$A$2:$F$30,6,TRUE)</f>
        <v>3</v>
      </c>
      <c r="I471" s="15">
        <f t="shared" si="14"/>
        <v>2.5922999999999998</v>
      </c>
      <c r="J471" t="str">
        <f t="shared" si="15"/>
        <v>update evaluasi set tahun = 1, nilai_maks = 100, nilai_input=86.41, bobot = 3, nilai_akhir = 2.5923, id_indikator = 'C020250226' where id_evaluasi = '20250028_C020250602';</v>
      </c>
      <c r="K471" s="14"/>
      <c r="P471" s="12"/>
      <c r="Q471" s="12"/>
    </row>
    <row r="472" spans="1:17" hidden="1" x14ac:dyDescent="0.35">
      <c r="A472" t="s">
        <v>568</v>
      </c>
      <c r="B472" t="s">
        <v>540</v>
      </c>
      <c r="C472" t="s">
        <v>81</v>
      </c>
      <c r="D472" t="s">
        <v>34</v>
      </c>
      <c r="E472" s="1">
        <v>1</v>
      </c>
      <c r="F472" s="1">
        <f>VLOOKUP(C472,m_indikator!$A$2:$F$30,5,TRUE)</f>
        <v>100</v>
      </c>
      <c r="G472" s="15">
        <v>87.67</v>
      </c>
      <c r="H472" s="1">
        <f>VLOOKUP(C472,m_indikator!$A$2:$F$30,6,TRUE)</f>
        <v>3</v>
      </c>
      <c r="I472" s="15">
        <f t="shared" si="14"/>
        <v>2.6301000000000001</v>
      </c>
      <c r="J472" t="str">
        <f t="shared" si="15"/>
        <v>update evaluasi set tahun = 1, nilai_maks = 100, nilai_input=87.67, bobot = 3, nilai_akhir = 2.6301, id_indikator = 'C020250226' where id_evaluasi = '20250029_C020250602';</v>
      </c>
      <c r="K472" s="14"/>
      <c r="P472" s="12"/>
      <c r="Q472" s="12"/>
    </row>
    <row r="473" spans="1:17" hidden="1" x14ac:dyDescent="0.35">
      <c r="A473" t="s">
        <v>569</v>
      </c>
      <c r="B473" t="s">
        <v>540</v>
      </c>
      <c r="C473" t="s">
        <v>81</v>
      </c>
      <c r="D473" t="s">
        <v>34</v>
      </c>
      <c r="E473" s="1">
        <v>1</v>
      </c>
      <c r="F473" s="1">
        <f>VLOOKUP(C473,m_indikator!$A$2:$F$30,5,TRUE)</f>
        <v>100</v>
      </c>
      <c r="G473" s="15">
        <v>86.38</v>
      </c>
      <c r="H473" s="1">
        <f>VLOOKUP(C473,m_indikator!$A$2:$F$30,6,TRUE)</f>
        <v>3</v>
      </c>
      <c r="I473" s="15">
        <f t="shared" si="14"/>
        <v>2.5913999999999997</v>
      </c>
      <c r="J473" t="str">
        <f t="shared" si="15"/>
        <v>update evaluasi set tahun = 1, nilai_maks = 100, nilai_input=86.38, bobot = 3, nilai_akhir = 2.5914, id_indikator = 'C020250226' where id_evaluasi = '20250030_C020250602';</v>
      </c>
      <c r="K473" s="14"/>
      <c r="P473" s="12"/>
      <c r="Q473" s="12"/>
    </row>
    <row r="474" spans="1:17" hidden="1" x14ac:dyDescent="0.35">
      <c r="A474" t="s">
        <v>570</v>
      </c>
      <c r="B474" t="s">
        <v>540</v>
      </c>
      <c r="C474" t="s">
        <v>81</v>
      </c>
      <c r="D474" t="s">
        <v>34</v>
      </c>
      <c r="E474" s="1">
        <v>1</v>
      </c>
      <c r="F474" s="1">
        <f>VLOOKUP(C474,m_indikator!$A$2:$F$30,5,TRUE)</f>
        <v>100</v>
      </c>
      <c r="G474" s="15">
        <v>83.79</v>
      </c>
      <c r="H474" s="1">
        <f>VLOOKUP(C474,m_indikator!$A$2:$F$30,6,TRUE)</f>
        <v>3</v>
      </c>
      <c r="I474" s="15">
        <f t="shared" si="14"/>
        <v>2.5137</v>
      </c>
      <c r="J474" t="str">
        <f t="shared" si="15"/>
        <v>update evaluasi set tahun = 1, nilai_maks = 100, nilai_input=83.79, bobot = 3, nilai_akhir = 2.5137, id_indikator = 'C020250226' where id_evaluasi = '20250031_C020250602';</v>
      </c>
      <c r="K474" s="14"/>
      <c r="P474" s="12"/>
      <c r="Q474" s="12"/>
    </row>
    <row r="475" spans="1:17" hidden="1" x14ac:dyDescent="0.35">
      <c r="A475" t="s">
        <v>571</v>
      </c>
      <c r="B475" t="s">
        <v>540</v>
      </c>
      <c r="C475" t="s">
        <v>81</v>
      </c>
      <c r="D475" t="s">
        <v>34</v>
      </c>
      <c r="E475" s="1">
        <v>1</v>
      </c>
      <c r="F475" s="1">
        <f>VLOOKUP(C475,m_indikator!$A$2:$F$30,5,TRUE)</f>
        <v>100</v>
      </c>
      <c r="G475" s="15">
        <v>83.4</v>
      </c>
      <c r="H475" s="1">
        <f>VLOOKUP(C475,m_indikator!$A$2:$F$30,6,TRUE)</f>
        <v>3</v>
      </c>
      <c r="I475" s="15">
        <f t="shared" si="14"/>
        <v>2.5020000000000002</v>
      </c>
      <c r="J475" t="str">
        <f t="shared" si="15"/>
        <v>update evaluasi set tahun = 1, nilai_maks = 100, nilai_input=83.4, bobot = 3, nilai_akhir = 2.502, id_indikator = 'C020250226' where id_evaluasi = '20250032_C020250602';</v>
      </c>
      <c r="K475" s="14"/>
      <c r="P475" s="12"/>
      <c r="Q475" s="12"/>
    </row>
    <row r="476" spans="1:17" hidden="1" x14ac:dyDescent="0.35">
      <c r="A476" t="s">
        <v>572</v>
      </c>
      <c r="B476" t="s">
        <v>540</v>
      </c>
      <c r="C476" t="s">
        <v>81</v>
      </c>
      <c r="D476" t="s">
        <v>34</v>
      </c>
      <c r="E476" s="1">
        <v>1</v>
      </c>
      <c r="F476" s="1">
        <f>VLOOKUP(C476,m_indikator!$A$2:$F$30,5,TRUE)</f>
        <v>100</v>
      </c>
      <c r="G476" s="15">
        <v>87.89</v>
      </c>
      <c r="H476" s="1">
        <f>VLOOKUP(C476,m_indikator!$A$2:$F$30,6,TRUE)</f>
        <v>3</v>
      </c>
      <c r="I476" s="15">
        <f t="shared" si="14"/>
        <v>2.6367000000000003</v>
      </c>
      <c r="J476" t="str">
        <f t="shared" si="15"/>
        <v>update evaluasi set tahun = 1, nilai_maks = 100, nilai_input=87.89, bobot = 3, nilai_akhir = 2.6367, id_indikator = 'C020250226' where id_evaluasi = '20250033_C020250602';</v>
      </c>
      <c r="K476" s="14"/>
      <c r="P476" s="12"/>
      <c r="Q476" s="12"/>
    </row>
    <row r="477" spans="1:17" hidden="1" x14ac:dyDescent="0.35">
      <c r="A477" t="s">
        <v>573</v>
      </c>
      <c r="B477" t="s">
        <v>540</v>
      </c>
      <c r="C477" t="s">
        <v>81</v>
      </c>
      <c r="D477" t="s">
        <v>34</v>
      </c>
      <c r="E477" s="1">
        <v>1</v>
      </c>
      <c r="F477" s="1">
        <f>VLOOKUP(C477,m_indikator!$A$2:$F$30,5,TRUE)</f>
        <v>100</v>
      </c>
      <c r="G477" s="15">
        <v>88.25</v>
      </c>
      <c r="H477" s="1">
        <f>VLOOKUP(C477,m_indikator!$A$2:$F$30,6,TRUE)</f>
        <v>3</v>
      </c>
      <c r="I477" s="15">
        <f t="shared" si="14"/>
        <v>2.6475</v>
      </c>
      <c r="J477" t="str">
        <f t="shared" si="15"/>
        <v>update evaluasi set tahun = 1, nilai_maks = 100, nilai_input=88.25, bobot = 3, nilai_akhir = 2.6475, id_indikator = 'C020250226' where id_evaluasi = '20250034_C020250602';</v>
      </c>
      <c r="K477" s="14"/>
      <c r="P477" s="12"/>
      <c r="Q477" s="12"/>
    </row>
    <row r="478" spans="1:17" hidden="1" x14ac:dyDescent="0.35">
      <c r="A478" t="s">
        <v>574</v>
      </c>
      <c r="B478" t="s">
        <v>540</v>
      </c>
      <c r="C478" t="s">
        <v>81</v>
      </c>
      <c r="D478" t="s">
        <v>34</v>
      </c>
      <c r="E478" s="1">
        <v>1</v>
      </c>
      <c r="F478" s="1">
        <f>VLOOKUP(C478,m_indikator!$A$2:$F$30,5,TRUE)</f>
        <v>100</v>
      </c>
      <c r="G478" s="15">
        <v>86.3</v>
      </c>
      <c r="H478" s="1">
        <f>VLOOKUP(C478,m_indikator!$A$2:$F$30,6,TRUE)</f>
        <v>3</v>
      </c>
      <c r="I478" s="15">
        <f t="shared" si="14"/>
        <v>2.589</v>
      </c>
      <c r="J478" t="str">
        <f t="shared" si="15"/>
        <v>update evaluasi set tahun = 1, nilai_maks = 100, nilai_input=86.3, bobot = 3, nilai_akhir = 2.589, id_indikator = 'C020250226' where id_evaluasi = '20250035_C020250602';</v>
      </c>
      <c r="K478" s="14"/>
      <c r="P478" s="12"/>
      <c r="Q478" s="12"/>
    </row>
    <row r="479" spans="1:17" hidden="1" x14ac:dyDescent="0.35">
      <c r="A479" t="s">
        <v>575</v>
      </c>
      <c r="B479" t="s">
        <v>540</v>
      </c>
      <c r="C479" t="s">
        <v>81</v>
      </c>
      <c r="D479" t="s">
        <v>34</v>
      </c>
      <c r="E479" s="1">
        <v>1</v>
      </c>
      <c r="F479" s="1">
        <f>VLOOKUP(C479,m_indikator!$A$2:$F$30,5,TRUE)</f>
        <v>100</v>
      </c>
      <c r="G479" s="15">
        <v>84.37</v>
      </c>
      <c r="H479" s="1">
        <f>VLOOKUP(C479,m_indikator!$A$2:$F$30,6,TRUE)</f>
        <v>3</v>
      </c>
      <c r="I479" s="15">
        <f t="shared" si="14"/>
        <v>2.5310999999999999</v>
      </c>
      <c r="J479" t="str">
        <f t="shared" si="15"/>
        <v>update evaluasi set tahun = 1, nilai_maks = 100, nilai_input=84.37, bobot = 3, nilai_akhir = 2.5311, id_indikator = 'C020250226' where id_evaluasi = '20250036_C020250602';</v>
      </c>
      <c r="K479" s="14"/>
      <c r="P479" s="12"/>
      <c r="Q479" s="12"/>
    </row>
    <row r="480" spans="1:17" hidden="1" x14ac:dyDescent="0.35">
      <c r="A480" t="s">
        <v>576</v>
      </c>
      <c r="B480" t="s">
        <v>540</v>
      </c>
      <c r="C480" t="s">
        <v>81</v>
      </c>
      <c r="D480" t="s">
        <v>34</v>
      </c>
      <c r="E480" s="1">
        <v>1</v>
      </c>
      <c r="F480" s="1">
        <f>VLOOKUP(C480,m_indikator!$A$2:$F$30,5,TRUE)</f>
        <v>100</v>
      </c>
      <c r="G480" s="15">
        <v>84.03</v>
      </c>
      <c r="H480" s="1">
        <f>VLOOKUP(C480,m_indikator!$A$2:$F$30,6,TRUE)</f>
        <v>3</v>
      </c>
      <c r="I480" s="15">
        <f t="shared" si="14"/>
        <v>2.5209000000000001</v>
      </c>
      <c r="J480" t="str">
        <f t="shared" si="15"/>
        <v>update evaluasi set tahun = 1, nilai_maks = 100, nilai_input=84.03, bobot = 3, nilai_akhir = 2.5209, id_indikator = 'C020250226' where id_evaluasi = '20250037_C020250602';</v>
      </c>
      <c r="K480" s="14"/>
      <c r="P480" s="12"/>
      <c r="Q480" s="12"/>
    </row>
    <row r="481" spans="1:17" hidden="1" x14ac:dyDescent="0.35">
      <c r="A481" t="s">
        <v>577</v>
      </c>
      <c r="B481" t="s">
        <v>540</v>
      </c>
      <c r="C481" t="s">
        <v>81</v>
      </c>
      <c r="D481" t="s">
        <v>34</v>
      </c>
      <c r="E481" s="1">
        <v>1</v>
      </c>
      <c r="F481" s="1">
        <f>VLOOKUP(C481,m_indikator!$A$2:$F$30,5,TRUE)</f>
        <v>100</v>
      </c>
      <c r="G481" s="15">
        <v>86.64</v>
      </c>
      <c r="H481" s="1">
        <f>VLOOKUP(C481,m_indikator!$A$2:$F$30,6,TRUE)</f>
        <v>3</v>
      </c>
      <c r="I481" s="15">
        <f t="shared" si="14"/>
        <v>2.5992000000000002</v>
      </c>
      <c r="J481" t="str">
        <f t="shared" si="15"/>
        <v>update evaluasi set tahun = 1, nilai_maks = 100, nilai_input=86.64, bobot = 3, nilai_akhir = 2.5992, id_indikator = 'C020250226' where id_evaluasi = '20250038_C020250602';</v>
      </c>
      <c r="K481" s="14"/>
      <c r="P481" s="12"/>
      <c r="Q481" s="12"/>
    </row>
    <row r="482" spans="1:17" hidden="1" x14ac:dyDescent="0.35">
      <c r="A482" t="s">
        <v>578</v>
      </c>
      <c r="B482" t="s">
        <v>540</v>
      </c>
      <c r="C482" t="s">
        <v>81</v>
      </c>
      <c r="D482" t="s">
        <v>34</v>
      </c>
      <c r="E482" s="1">
        <v>1</v>
      </c>
      <c r="F482" s="1">
        <f>VLOOKUP(C482,m_indikator!$A$2:$F$30,5,TRUE)</f>
        <v>100</v>
      </c>
      <c r="G482" s="15">
        <v>86.62</v>
      </c>
      <c r="H482" s="1">
        <f>VLOOKUP(C482,m_indikator!$A$2:$F$30,6,TRUE)</f>
        <v>3</v>
      </c>
      <c r="I482" s="15">
        <f t="shared" si="14"/>
        <v>2.5986000000000002</v>
      </c>
      <c r="J482" t="str">
        <f t="shared" si="15"/>
        <v>update evaluasi set tahun = 1, nilai_maks = 100, nilai_input=86.62, bobot = 3, nilai_akhir = 2.5986, id_indikator = 'C020250226' where id_evaluasi = '20250039_C020250602';</v>
      </c>
      <c r="K482" s="14"/>
      <c r="P482" s="12"/>
      <c r="Q482" s="12"/>
    </row>
    <row r="483" spans="1:17" hidden="1" x14ac:dyDescent="0.35">
      <c r="A483" t="s">
        <v>579</v>
      </c>
      <c r="B483" t="s">
        <v>540</v>
      </c>
      <c r="C483" t="s">
        <v>81</v>
      </c>
      <c r="D483" t="s">
        <v>34</v>
      </c>
      <c r="E483" s="1">
        <v>1</v>
      </c>
      <c r="F483" s="1">
        <f>VLOOKUP(C483,m_indikator!$A$2:$F$30,5,TRUE)</f>
        <v>100</v>
      </c>
      <c r="G483" s="15">
        <v>84.69</v>
      </c>
      <c r="H483" s="1">
        <f>VLOOKUP(C483,m_indikator!$A$2:$F$30,6,TRUE)</f>
        <v>3</v>
      </c>
      <c r="I483" s="15">
        <f t="shared" si="14"/>
        <v>2.5407000000000002</v>
      </c>
      <c r="J483" t="str">
        <f t="shared" si="15"/>
        <v>update evaluasi set tahun = 1, nilai_maks = 100, nilai_input=84.69, bobot = 3, nilai_akhir = 2.5407, id_indikator = 'C020250226' where id_evaluasi = '20250045_C020250602';</v>
      </c>
      <c r="K483" s="14"/>
      <c r="P483" s="12"/>
      <c r="Q483" s="12"/>
    </row>
    <row r="484" spans="1:17" hidden="1" x14ac:dyDescent="0.35">
      <c r="A484" t="s">
        <v>580</v>
      </c>
      <c r="B484" t="s">
        <v>540</v>
      </c>
      <c r="C484" t="s">
        <v>81</v>
      </c>
      <c r="D484" t="s">
        <v>34</v>
      </c>
      <c r="E484" s="1">
        <v>1</v>
      </c>
      <c r="F484" s="1">
        <f>VLOOKUP(C484,m_indikator!$A$2:$F$30,5,TRUE)</f>
        <v>100</v>
      </c>
      <c r="G484" s="15">
        <v>88.26</v>
      </c>
      <c r="H484" s="1">
        <f>VLOOKUP(C484,m_indikator!$A$2:$F$30,6,TRUE)</f>
        <v>3</v>
      </c>
      <c r="I484" s="15">
        <f t="shared" si="14"/>
        <v>2.6478000000000002</v>
      </c>
      <c r="J484" t="str">
        <f t="shared" si="15"/>
        <v>update evaluasi set tahun = 1, nilai_maks = 100, nilai_input=88.26, bobot = 3, nilai_akhir = 2.6478, id_indikator = 'C020250226' where id_evaluasi = '20250046_C020250602';</v>
      </c>
      <c r="K484" s="14"/>
      <c r="P484" s="12"/>
      <c r="Q484" s="12"/>
    </row>
    <row r="485" spans="1:17" hidden="1" x14ac:dyDescent="0.35">
      <c r="A485" t="s">
        <v>608</v>
      </c>
      <c r="B485" t="s">
        <v>582</v>
      </c>
      <c r="C485" t="s">
        <v>82</v>
      </c>
      <c r="D485" t="s">
        <v>35</v>
      </c>
      <c r="E485" s="1">
        <v>1</v>
      </c>
      <c r="F485" s="1">
        <f>VLOOKUP(C485,m_indikator!$A$2:$F$30,5,TRUE)</f>
        <v>100</v>
      </c>
      <c r="G485" s="15">
        <v>0</v>
      </c>
      <c r="H485" s="1">
        <f>VLOOKUP(C485,m_indikator!$A$2:$F$30,6,TRUE)</f>
        <v>3</v>
      </c>
      <c r="I485" s="15">
        <f t="shared" si="14"/>
        <v>0</v>
      </c>
      <c r="J485" t="str">
        <f t="shared" si="15"/>
        <v>update evaluasi set tahun = 1, nilai_maks = 100, nilai_input=0, bobot = 3, nilai_akhir = 0, id_indikator = 'C020250227' where id_evaluasi = '20250001_C020250603';</v>
      </c>
      <c r="P485" s="12"/>
      <c r="Q485" s="12"/>
    </row>
    <row r="486" spans="1:17" hidden="1" x14ac:dyDescent="0.35">
      <c r="A486" t="s">
        <v>609</v>
      </c>
      <c r="B486" t="s">
        <v>582</v>
      </c>
      <c r="C486" t="s">
        <v>82</v>
      </c>
      <c r="D486" t="s">
        <v>35</v>
      </c>
      <c r="E486" s="1">
        <v>1</v>
      </c>
      <c r="F486" s="1">
        <f>VLOOKUP(C486,m_indikator!$A$2:$F$30,5,TRUE)</f>
        <v>100</v>
      </c>
      <c r="G486" s="15">
        <v>1.49</v>
      </c>
      <c r="H486" s="1">
        <f>VLOOKUP(C486,m_indikator!$A$2:$F$30,6,TRUE)</f>
        <v>3</v>
      </c>
      <c r="I486" s="15">
        <f t="shared" si="14"/>
        <v>4.4700000000000004E-2</v>
      </c>
      <c r="J486" t="str">
        <f t="shared" si="15"/>
        <v>update evaluasi set tahun = 1, nilai_maks = 100, nilai_input=1.49, bobot = 3, nilai_akhir = 0.0447, id_indikator = 'C020250227' where id_evaluasi = '20250002_C020250603';</v>
      </c>
      <c r="K486" s="14"/>
      <c r="P486" s="12"/>
      <c r="Q486" s="12"/>
    </row>
    <row r="487" spans="1:17" hidden="1" x14ac:dyDescent="0.35">
      <c r="A487" t="s">
        <v>610</v>
      </c>
      <c r="B487" t="s">
        <v>582</v>
      </c>
      <c r="C487" t="s">
        <v>82</v>
      </c>
      <c r="D487" t="s">
        <v>35</v>
      </c>
      <c r="E487" s="1">
        <v>1</v>
      </c>
      <c r="F487" s="1">
        <f>VLOOKUP(C487,m_indikator!$A$2:$F$30,5,TRUE)</f>
        <v>100</v>
      </c>
      <c r="G487" s="15">
        <v>0.76</v>
      </c>
      <c r="H487" s="1">
        <f>VLOOKUP(C487,m_indikator!$A$2:$F$30,6,TRUE)</f>
        <v>3</v>
      </c>
      <c r="I487" s="15">
        <f t="shared" si="14"/>
        <v>2.2800000000000001E-2</v>
      </c>
      <c r="J487" t="str">
        <f t="shared" si="15"/>
        <v>update evaluasi set tahun = 1, nilai_maks = 100, nilai_input=0.76, bobot = 3, nilai_akhir = 0.0228, id_indikator = 'C020250227' where id_evaluasi = '20250003_C020250603';</v>
      </c>
      <c r="K487" s="14"/>
      <c r="P487" s="12"/>
      <c r="Q487" s="12"/>
    </row>
    <row r="488" spans="1:17" hidden="1" x14ac:dyDescent="0.35">
      <c r="A488" t="s">
        <v>611</v>
      </c>
      <c r="B488" t="s">
        <v>582</v>
      </c>
      <c r="C488" t="s">
        <v>82</v>
      </c>
      <c r="D488" t="s">
        <v>35</v>
      </c>
      <c r="E488" s="1">
        <v>1</v>
      </c>
      <c r="F488" s="1">
        <f>VLOOKUP(C488,m_indikator!$A$2:$F$30,5,TRUE)</f>
        <v>100</v>
      </c>
      <c r="G488" s="15">
        <v>40.67</v>
      </c>
      <c r="H488" s="1">
        <f>VLOOKUP(C488,m_indikator!$A$2:$F$30,6,TRUE)</f>
        <v>3</v>
      </c>
      <c r="I488" s="15">
        <f t="shared" si="14"/>
        <v>1.2201</v>
      </c>
      <c r="J488" t="str">
        <f t="shared" si="15"/>
        <v>update evaluasi set tahun = 1, nilai_maks = 100, nilai_input=40.67, bobot = 3, nilai_akhir = 1.2201, id_indikator = 'C020250227' where id_evaluasi = '20250004_C020250603';</v>
      </c>
      <c r="K488" s="14"/>
      <c r="P488" s="12"/>
      <c r="Q488" s="12"/>
    </row>
    <row r="489" spans="1:17" hidden="1" x14ac:dyDescent="0.35">
      <c r="A489" t="s">
        <v>612</v>
      </c>
      <c r="B489" t="s">
        <v>582</v>
      </c>
      <c r="C489" t="s">
        <v>82</v>
      </c>
      <c r="D489" t="s">
        <v>35</v>
      </c>
      <c r="E489" s="1">
        <v>1</v>
      </c>
      <c r="F489" s="1">
        <f>VLOOKUP(C489,m_indikator!$A$2:$F$30,5,TRUE)</f>
        <v>100</v>
      </c>
      <c r="G489" s="15">
        <v>11.63</v>
      </c>
      <c r="H489" s="1">
        <f>VLOOKUP(C489,m_indikator!$A$2:$F$30,6,TRUE)</f>
        <v>3</v>
      </c>
      <c r="I489" s="15">
        <f t="shared" si="14"/>
        <v>0.34890000000000004</v>
      </c>
      <c r="J489" t="str">
        <f t="shared" si="15"/>
        <v>update evaluasi set tahun = 1, nilai_maks = 100, nilai_input=11.63, bobot = 3, nilai_akhir = 0.3489, id_indikator = 'C020250227' where id_evaluasi = '20250005_C020250603';</v>
      </c>
      <c r="P489" s="12"/>
      <c r="Q489" s="12"/>
    </row>
    <row r="490" spans="1:17" hidden="1" x14ac:dyDescent="0.35">
      <c r="A490" t="s">
        <v>613</v>
      </c>
      <c r="B490" t="s">
        <v>582</v>
      </c>
      <c r="C490" t="s">
        <v>82</v>
      </c>
      <c r="D490" t="s">
        <v>35</v>
      </c>
      <c r="E490" s="1">
        <v>1</v>
      </c>
      <c r="F490" s="1">
        <f>VLOOKUP(C490,m_indikator!$A$2:$F$30,5,TRUE)</f>
        <v>100</v>
      </c>
      <c r="G490" s="15">
        <v>8.59</v>
      </c>
      <c r="H490" s="1">
        <f>VLOOKUP(C490,m_indikator!$A$2:$F$30,6,TRUE)</f>
        <v>3</v>
      </c>
      <c r="I490" s="15">
        <f t="shared" si="14"/>
        <v>0.25770000000000004</v>
      </c>
      <c r="J490" t="str">
        <f t="shared" si="15"/>
        <v>update evaluasi set tahun = 1, nilai_maks = 100, nilai_input=8.59, bobot = 3, nilai_akhir = 0.2577, id_indikator = 'C020250227' where id_evaluasi = '20250006_C020250603';</v>
      </c>
      <c r="P490" s="12"/>
      <c r="Q490" s="12"/>
    </row>
    <row r="491" spans="1:17" hidden="1" x14ac:dyDescent="0.35">
      <c r="A491" t="s">
        <v>614</v>
      </c>
      <c r="B491" t="s">
        <v>582</v>
      </c>
      <c r="C491" t="s">
        <v>82</v>
      </c>
      <c r="D491" t="s">
        <v>35</v>
      </c>
      <c r="E491" s="1">
        <v>1</v>
      </c>
      <c r="F491" s="1">
        <f>VLOOKUP(C491,m_indikator!$A$2:$F$30,5,TRUE)</f>
        <v>100</v>
      </c>
      <c r="G491" s="15">
        <v>38.99</v>
      </c>
      <c r="H491" s="1">
        <f>VLOOKUP(C491,m_indikator!$A$2:$F$30,6,TRUE)</f>
        <v>3</v>
      </c>
      <c r="I491" s="15">
        <f t="shared" si="14"/>
        <v>1.1697000000000002</v>
      </c>
      <c r="J491" t="str">
        <f t="shared" si="15"/>
        <v>update evaluasi set tahun = 1, nilai_maks = 100, nilai_input=38.99, bobot = 3, nilai_akhir = 1.1697, id_indikator = 'C020250227' where id_evaluasi = '20250007_C020250603';</v>
      </c>
      <c r="P491" s="12"/>
      <c r="Q491" s="12"/>
    </row>
    <row r="492" spans="1:17" hidden="1" x14ac:dyDescent="0.35">
      <c r="A492" t="s">
        <v>615</v>
      </c>
      <c r="B492" t="s">
        <v>582</v>
      </c>
      <c r="C492" t="s">
        <v>82</v>
      </c>
      <c r="D492" t="s">
        <v>35</v>
      </c>
      <c r="E492" s="1">
        <v>1</v>
      </c>
      <c r="F492" s="1">
        <f>VLOOKUP(C492,m_indikator!$A$2:$F$30,5,TRUE)</f>
        <v>100</v>
      </c>
      <c r="G492" s="15">
        <v>29.09</v>
      </c>
      <c r="H492" s="1">
        <f>VLOOKUP(C492,m_indikator!$A$2:$F$30,6,TRUE)</f>
        <v>3</v>
      </c>
      <c r="I492" s="15">
        <f t="shared" si="14"/>
        <v>0.87270000000000003</v>
      </c>
      <c r="J492" t="str">
        <f t="shared" si="15"/>
        <v>update evaluasi set tahun = 1, nilai_maks = 100, nilai_input=29.09, bobot = 3, nilai_akhir = 0.8727, id_indikator = 'C020250227' where id_evaluasi = '20250008_C020250603';</v>
      </c>
      <c r="P492" s="12"/>
      <c r="Q492" s="12"/>
    </row>
    <row r="493" spans="1:17" hidden="1" x14ac:dyDescent="0.35">
      <c r="A493" t="s">
        <v>616</v>
      </c>
      <c r="B493" t="s">
        <v>582</v>
      </c>
      <c r="C493" t="s">
        <v>82</v>
      </c>
      <c r="D493" t="s">
        <v>35</v>
      </c>
      <c r="E493" s="1">
        <v>1</v>
      </c>
      <c r="F493" s="1">
        <f>VLOOKUP(C493,m_indikator!$A$2:$F$30,5,TRUE)</f>
        <v>100</v>
      </c>
      <c r="G493" s="15">
        <v>11.05</v>
      </c>
      <c r="H493" s="1">
        <f>VLOOKUP(C493,m_indikator!$A$2:$F$30,6,TRUE)</f>
        <v>3</v>
      </c>
      <c r="I493" s="15">
        <f t="shared" si="14"/>
        <v>0.33150000000000002</v>
      </c>
      <c r="J493" t="str">
        <f t="shared" si="15"/>
        <v>update evaluasi set tahun = 1, nilai_maks = 100, nilai_input=11.05, bobot = 3, nilai_akhir = 0.3315, id_indikator = 'C020250227' where id_evaluasi = '20250009_C020250603';</v>
      </c>
      <c r="P493" s="12"/>
      <c r="Q493" s="12"/>
    </row>
    <row r="494" spans="1:17" hidden="1" x14ac:dyDescent="0.35">
      <c r="A494" t="s">
        <v>617</v>
      </c>
      <c r="B494" t="s">
        <v>582</v>
      </c>
      <c r="C494" t="s">
        <v>82</v>
      </c>
      <c r="D494" t="s">
        <v>35</v>
      </c>
      <c r="E494" s="1">
        <v>1</v>
      </c>
      <c r="F494" s="1">
        <f>VLOOKUP(C494,m_indikator!$A$2:$F$30,5,TRUE)</f>
        <v>100</v>
      </c>
      <c r="G494" s="15">
        <v>1.72</v>
      </c>
      <c r="H494" s="1">
        <f>VLOOKUP(C494,m_indikator!$A$2:$F$30,6,TRUE)</f>
        <v>3</v>
      </c>
      <c r="I494" s="15">
        <f t="shared" si="14"/>
        <v>5.16E-2</v>
      </c>
      <c r="J494" t="str">
        <f t="shared" si="15"/>
        <v>update evaluasi set tahun = 1, nilai_maks = 100, nilai_input=1.72, bobot = 3, nilai_akhir = 0.0516, id_indikator = 'C020250227' where id_evaluasi = '20250010_C020250603';</v>
      </c>
      <c r="P494" s="12"/>
      <c r="Q494" s="12"/>
    </row>
    <row r="495" spans="1:17" hidden="1" x14ac:dyDescent="0.35">
      <c r="A495" t="s">
        <v>618</v>
      </c>
      <c r="B495" t="s">
        <v>582</v>
      </c>
      <c r="C495" t="s">
        <v>82</v>
      </c>
      <c r="D495" t="s">
        <v>35</v>
      </c>
      <c r="E495" s="1">
        <v>1</v>
      </c>
      <c r="F495" s="1">
        <f>VLOOKUP(C495,m_indikator!$A$2:$F$30,5,TRUE)</f>
        <v>100</v>
      </c>
      <c r="G495" s="15">
        <v>41.82</v>
      </c>
      <c r="H495" s="1">
        <f>VLOOKUP(C495,m_indikator!$A$2:$F$30,6,TRUE)</f>
        <v>3</v>
      </c>
      <c r="I495" s="15">
        <f t="shared" si="14"/>
        <v>1.2545999999999999</v>
      </c>
      <c r="J495" t="str">
        <f t="shared" si="15"/>
        <v>update evaluasi set tahun = 1, nilai_maks = 100, nilai_input=41.82, bobot = 3, nilai_akhir = 1.2546, id_indikator = 'C020250227' where id_evaluasi = '20250011_C020250603';</v>
      </c>
      <c r="P495" s="12"/>
      <c r="Q495" s="12"/>
    </row>
    <row r="496" spans="1:17" hidden="1" x14ac:dyDescent="0.35">
      <c r="A496" t="s">
        <v>619</v>
      </c>
      <c r="B496" t="s">
        <v>582</v>
      </c>
      <c r="C496" t="s">
        <v>82</v>
      </c>
      <c r="D496" t="s">
        <v>35</v>
      </c>
      <c r="E496" s="1">
        <v>1</v>
      </c>
      <c r="F496" s="1">
        <f>VLOOKUP(C496,m_indikator!$A$2:$F$30,5,TRUE)</f>
        <v>100</v>
      </c>
      <c r="G496" s="15">
        <v>67.92</v>
      </c>
      <c r="H496" s="1">
        <f>VLOOKUP(C496,m_indikator!$A$2:$F$30,6,TRUE)</f>
        <v>3</v>
      </c>
      <c r="I496" s="15">
        <f t="shared" si="14"/>
        <v>2.0376000000000003</v>
      </c>
      <c r="J496" t="str">
        <f t="shared" si="15"/>
        <v>update evaluasi set tahun = 1, nilai_maks = 100, nilai_input=67.92, bobot = 3, nilai_akhir = 2.0376, id_indikator = 'C020250227' where id_evaluasi = '20250012_C020250603';</v>
      </c>
      <c r="P496" s="12"/>
      <c r="Q496" s="12"/>
    </row>
    <row r="497" spans="1:17" hidden="1" x14ac:dyDescent="0.35">
      <c r="A497" t="s">
        <v>620</v>
      </c>
      <c r="B497" t="s">
        <v>582</v>
      </c>
      <c r="C497" t="s">
        <v>82</v>
      </c>
      <c r="D497" t="s">
        <v>35</v>
      </c>
      <c r="E497" s="1">
        <v>1</v>
      </c>
      <c r="F497" s="1">
        <f>VLOOKUP(C497,m_indikator!$A$2:$F$30,5,TRUE)</f>
        <v>100</v>
      </c>
      <c r="G497" s="15">
        <v>73.17</v>
      </c>
      <c r="H497" s="1">
        <f>VLOOKUP(C497,m_indikator!$A$2:$F$30,6,TRUE)</f>
        <v>3</v>
      </c>
      <c r="I497" s="15">
        <f t="shared" si="14"/>
        <v>2.1951000000000001</v>
      </c>
      <c r="J497" t="str">
        <f t="shared" si="15"/>
        <v>update evaluasi set tahun = 1, nilai_maks = 100, nilai_input=73.17, bobot = 3, nilai_akhir = 2.1951, id_indikator = 'C020250227' where id_evaluasi = '20250013_C020250603';</v>
      </c>
      <c r="P497" s="12"/>
      <c r="Q497" s="12"/>
    </row>
    <row r="498" spans="1:17" hidden="1" x14ac:dyDescent="0.35">
      <c r="A498" t="s">
        <v>621</v>
      </c>
      <c r="B498" t="s">
        <v>582</v>
      </c>
      <c r="C498" t="s">
        <v>82</v>
      </c>
      <c r="D498" t="s">
        <v>35</v>
      </c>
      <c r="E498" s="1">
        <v>1</v>
      </c>
      <c r="F498" s="1">
        <f>VLOOKUP(C498,m_indikator!$A$2:$F$30,5,TRUE)</f>
        <v>100</v>
      </c>
      <c r="G498" s="15">
        <v>87.8</v>
      </c>
      <c r="H498" s="1">
        <f>VLOOKUP(C498,m_indikator!$A$2:$F$30,6,TRUE)</f>
        <v>3</v>
      </c>
      <c r="I498" s="15">
        <f t="shared" si="14"/>
        <v>2.6339999999999999</v>
      </c>
      <c r="J498" t="str">
        <f t="shared" si="15"/>
        <v>update evaluasi set tahun = 1, nilai_maks = 100, nilai_input=87.8, bobot = 3, nilai_akhir = 2.634, id_indikator = 'C020250227' where id_evaluasi = '20250014_C020250603';</v>
      </c>
      <c r="P498" s="12"/>
      <c r="Q498" s="12"/>
    </row>
    <row r="499" spans="1:17" hidden="1" x14ac:dyDescent="0.35">
      <c r="A499" t="s">
        <v>622</v>
      </c>
      <c r="B499" t="s">
        <v>582</v>
      </c>
      <c r="C499" t="s">
        <v>82</v>
      </c>
      <c r="D499" t="s">
        <v>35</v>
      </c>
      <c r="E499" s="1">
        <v>1</v>
      </c>
      <c r="F499" s="1">
        <f>VLOOKUP(C499,m_indikator!$A$2:$F$30,5,TRUE)</f>
        <v>100</v>
      </c>
      <c r="G499" s="15">
        <v>22.92</v>
      </c>
      <c r="H499" s="1">
        <f>VLOOKUP(C499,m_indikator!$A$2:$F$30,6,TRUE)</f>
        <v>3</v>
      </c>
      <c r="I499" s="15">
        <f t="shared" si="14"/>
        <v>0.68759999999999999</v>
      </c>
      <c r="J499" t="str">
        <f t="shared" si="15"/>
        <v>update evaluasi set tahun = 1, nilai_maks = 100, nilai_input=22.92, bobot = 3, nilai_akhir = 0.6876, id_indikator = 'C020250227' where id_evaluasi = '20250015_C020250603';</v>
      </c>
      <c r="P499" s="12"/>
      <c r="Q499" s="12"/>
    </row>
    <row r="500" spans="1:17" hidden="1" x14ac:dyDescent="0.35">
      <c r="A500" t="s">
        <v>623</v>
      </c>
      <c r="B500" t="s">
        <v>582</v>
      </c>
      <c r="C500" t="s">
        <v>82</v>
      </c>
      <c r="D500" t="s">
        <v>35</v>
      </c>
      <c r="E500" s="1">
        <v>1</v>
      </c>
      <c r="F500" s="1">
        <f>VLOOKUP(C500,m_indikator!$A$2:$F$30,5,TRUE)</f>
        <v>100</v>
      </c>
      <c r="G500" s="15">
        <v>11.74</v>
      </c>
      <c r="H500" s="1">
        <f>VLOOKUP(C500,m_indikator!$A$2:$F$30,6,TRUE)</f>
        <v>3</v>
      </c>
      <c r="I500" s="15">
        <f t="shared" si="14"/>
        <v>0.35220000000000001</v>
      </c>
      <c r="J500" t="str">
        <f t="shared" si="15"/>
        <v>update evaluasi set tahun = 1, nilai_maks = 100, nilai_input=11.74, bobot = 3, nilai_akhir = 0.3522, id_indikator = 'C020250227' where id_evaluasi = '20250016_C020250603';</v>
      </c>
      <c r="P500" s="12"/>
      <c r="Q500" s="12"/>
    </row>
    <row r="501" spans="1:17" hidden="1" x14ac:dyDescent="0.35">
      <c r="A501" t="s">
        <v>624</v>
      </c>
      <c r="B501" t="s">
        <v>582</v>
      </c>
      <c r="C501" t="s">
        <v>82</v>
      </c>
      <c r="D501" t="s">
        <v>35</v>
      </c>
      <c r="E501" s="1">
        <v>1</v>
      </c>
      <c r="F501" s="1">
        <f>VLOOKUP(C501,m_indikator!$A$2:$F$30,5,TRUE)</f>
        <v>100</v>
      </c>
      <c r="G501" s="15">
        <v>30.87</v>
      </c>
      <c r="H501" s="1">
        <f>VLOOKUP(C501,m_indikator!$A$2:$F$30,6,TRUE)</f>
        <v>3</v>
      </c>
      <c r="I501" s="15">
        <f t="shared" si="14"/>
        <v>0.92610000000000015</v>
      </c>
      <c r="J501" t="str">
        <f t="shared" si="15"/>
        <v>update evaluasi set tahun = 1, nilai_maks = 100, nilai_input=30.87, bobot = 3, nilai_akhir = 0.9261, id_indikator = 'C020250227' where id_evaluasi = '20250017_C020250603';</v>
      </c>
      <c r="P501" s="12"/>
      <c r="Q501" s="12"/>
    </row>
    <row r="502" spans="1:17" hidden="1" x14ac:dyDescent="0.35">
      <c r="A502" t="s">
        <v>625</v>
      </c>
      <c r="B502" t="s">
        <v>582</v>
      </c>
      <c r="C502" t="s">
        <v>82</v>
      </c>
      <c r="D502" t="s">
        <v>35</v>
      </c>
      <c r="E502" s="1">
        <v>1</v>
      </c>
      <c r="F502" s="1">
        <f>VLOOKUP(C502,m_indikator!$A$2:$F$30,5,TRUE)</f>
        <v>100</v>
      </c>
      <c r="G502" s="15">
        <v>73.180000000000007</v>
      </c>
      <c r="H502" s="1">
        <f>VLOOKUP(C502,m_indikator!$A$2:$F$30,6,TRUE)</f>
        <v>3</v>
      </c>
      <c r="I502" s="15">
        <f t="shared" si="14"/>
        <v>2.1954000000000002</v>
      </c>
      <c r="J502" t="str">
        <f t="shared" si="15"/>
        <v>update evaluasi set tahun = 1, nilai_maks = 100, nilai_input=73.18, bobot = 3, nilai_akhir = 2.1954, id_indikator = 'C020250227' where id_evaluasi = '20250018_C020250603';</v>
      </c>
      <c r="K502" s="14"/>
      <c r="P502" s="12"/>
      <c r="Q502" s="12"/>
    </row>
    <row r="503" spans="1:17" hidden="1" x14ac:dyDescent="0.35">
      <c r="A503" t="s">
        <v>626</v>
      </c>
      <c r="B503" t="s">
        <v>582</v>
      </c>
      <c r="C503" t="s">
        <v>82</v>
      </c>
      <c r="D503" t="s">
        <v>35</v>
      </c>
      <c r="E503" s="1">
        <v>1</v>
      </c>
      <c r="F503" s="1">
        <f>VLOOKUP(C503,m_indikator!$A$2:$F$30,5,TRUE)</f>
        <v>100</v>
      </c>
      <c r="G503" s="15">
        <v>29.66</v>
      </c>
      <c r="H503" s="1">
        <f>VLOOKUP(C503,m_indikator!$A$2:$F$30,6,TRUE)</f>
        <v>3</v>
      </c>
      <c r="I503" s="15">
        <f t="shared" si="14"/>
        <v>0.88979999999999992</v>
      </c>
      <c r="J503" t="str">
        <f t="shared" si="15"/>
        <v>update evaluasi set tahun = 1, nilai_maks = 100, nilai_input=29.66, bobot = 3, nilai_akhir = 0.8898, id_indikator = 'C020250227' where id_evaluasi = '20250019_C020250603';</v>
      </c>
      <c r="K503" s="14"/>
      <c r="P503" s="12"/>
      <c r="Q503" s="12"/>
    </row>
    <row r="504" spans="1:17" hidden="1" x14ac:dyDescent="0.35">
      <c r="A504" t="s">
        <v>627</v>
      </c>
      <c r="B504" t="s">
        <v>582</v>
      </c>
      <c r="C504" t="s">
        <v>82</v>
      </c>
      <c r="D504" t="s">
        <v>35</v>
      </c>
      <c r="E504" s="1">
        <v>1</v>
      </c>
      <c r="F504" s="1">
        <f>VLOOKUP(C504,m_indikator!$A$2:$F$30,5,TRUE)</f>
        <v>100</v>
      </c>
      <c r="G504" s="15">
        <v>0</v>
      </c>
      <c r="H504" s="1">
        <f>VLOOKUP(C504,m_indikator!$A$2:$F$30,6,TRUE)</f>
        <v>3</v>
      </c>
      <c r="I504" s="15">
        <f t="shared" si="14"/>
        <v>0</v>
      </c>
      <c r="J504" t="str">
        <f t="shared" si="15"/>
        <v>update evaluasi set tahun = 1, nilai_maks = 100, nilai_input=0, bobot = 3, nilai_akhir = 0, id_indikator = 'C020250227' where id_evaluasi = '20250020_C020250603';</v>
      </c>
      <c r="P504" s="12"/>
      <c r="Q504" s="12"/>
    </row>
    <row r="505" spans="1:17" hidden="1" x14ac:dyDescent="0.35">
      <c r="A505" t="s">
        <v>628</v>
      </c>
      <c r="B505" t="s">
        <v>582</v>
      </c>
      <c r="C505" t="s">
        <v>82</v>
      </c>
      <c r="D505" t="s">
        <v>35</v>
      </c>
      <c r="E505" s="1">
        <v>1</v>
      </c>
      <c r="F505" s="1">
        <f>VLOOKUP(C505,m_indikator!$A$2:$F$30,5,TRUE)</f>
        <v>100</v>
      </c>
      <c r="G505" s="15">
        <v>80.989999999999995</v>
      </c>
      <c r="H505" s="1">
        <f>VLOOKUP(C505,m_indikator!$A$2:$F$30,6,TRUE)</f>
        <v>3</v>
      </c>
      <c r="I505" s="15">
        <f t="shared" si="14"/>
        <v>2.4297</v>
      </c>
      <c r="J505" t="str">
        <f t="shared" si="15"/>
        <v>update evaluasi set tahun = 1, nilai_maks = 100, nilai_input=80.99, bobot = 3, nilai_akhir = 2.4297, id_indikator = 'C020250227' where id_evaluasi = '20250021_C020250603';</v>
      </c>
      <c r="P505" s="12"/>
      <c r="Q505" s="12"/>
    </row>
    <row r="506" spans="1:17" hidden="1" x14ac:dyDescent="0.35">
      <c r="A506" t="s">
        <v>629</v>
      </c>
      <c r="B506" t="s">
        <v>582</v>
      </c>
      <c r="C506" t="s">
        <v>82</v>
      </c>
      <c r="D506" t="s">
        <v>35</v>
      </c>
      <c r="E506" s="1">
        <v>1</v>
      </c>
      <c r="F506" s="1">
        <f>VLOOKUP(C506,m_indikator!$A$2:$F$30,5,TRUE)</f>
        <v>100</v>
      </c>
      <c r="G506" s="15">
        <v>23.03</v>
      </c>
      <c r="H506" s="1">
        <f>VLOOKUP(C506,m_indikator!$A$2:$F$30,6,TRUE)</f>
        <v>3</v>
      </c>
      <c r="I506" s="15">
        <f t="shared" si="14"/>
        <v>0.69090000000000007</v>
      </c>
      <c r="J506" t="str">
        <f t="shared" si="15"/>
        <v>update evaluasi set tahun = 1, nilai_maks = 100, nilai_input=23.03, bobot = 3, nilai_akhir = 0.6909, id_indikator = 'C020250227' where id_evaluasi = '20250022_C020250603';</v>
      </c>
      <c r="P506" s="12"/>
      <c r="Q506" s="12"/>
    </row>
    <row r="507" spans="1:17" hidden="1" x14ac:dyDescent="0.35">
      <c r="A507" t="s">
        <v>630</v>
      </c>
      <c r="B507" t="s">
        <v>582</v>
      </c>
      <c r="C507" t="s">
        <v>82</v>
      </c>
      <c r="D507" t="s">
        <v>35</v>
      </c>
      <c r="E507" s="1">
        <v>1</v>
      </c>
      <c r="F507" s="1">
        <f>VLOOKUP(C507,m_indikator!$A$2:$F$30,5,TRUE)</f>
        <v>100</v>
      </c>
      <c r="G507" s="15">
        <v>11.18</v>
      </c>
      <c r="H507" s="1">
        <f>VLOOKUP(C507,m_indikator!$A$2:$F$30,6,TRUE)</f>
        <v>3</v>
      </c>
      <c r="I507" s="15">
        <f t="shared" si="14"/>
        <v>0.33539999999999998</v>
      </c>
      <c r="J507" t="str">
        <f t="shared" si="15"/>
        <v>update evaluasi set tahun = 1, nilai_maks = 100, nilai_input=11.18, bobot = 3, nilai_akhir = 0.3354, id_indikator = 'C020250227' where id_evaluasi = '20250023_C020250603';</v>
      </c>
      <c r="P507" s="12"/>
      <c r="Q507" s="12"/>
    </row>
    <row r="508" spans="1:17" hidden="1" x14ac:dyDescent="0.35">
      <c r="A508" t="s">
        <v>631</v>
      </c>
      <c r="B508" t="s">
        <v>582</v>
      </c>
      <c r="C508" t="s">
        <v>82</v>
      </c>
      <c r="D508" t="s">
        <v>35</v>
      </c>
      <c r="E508" s="1">
        <v>1</v>
      </c>
      <c r="F508" s="1">
        <f>VLOOKUP(C508,m_indikator!$A$2:$F$30,5,TRUE)</f>
        <v>100</v>
      </c>
      <c r="G508" s="15">
        <v>16.3</v>
      </c>
      <c r="H508" s="1">
        <f>VLOOKUP(C508,m_indikator!$A$2:$F$30,6,TRUE)</f>
        <v>3</v>
      </c>
      <c r="I508" s="15">
        <f t="shared" si="14"/>
        <v>0.48899999999999999</v>
      </c>
      <c r="J508" t="str">
        <f t="shared" si="15"/>
        <v>update evaluasi set tahun = 1, nilai_maks = 100, nilai_input=16.3, bobot = 3, nilai_akhir = 0.489, id_indikator = 'C020250227' where id_evaluasi = '20250024_C020250603';</v>
      </c>
      <c r="P508" s="12"/>
      <c r="Q508" s="12"/>
    </row>
    <row r="509" spans="1:17" hidden="1" x14ac:dyDescent="0.35">
      <c r="A509" t="s">
        <v>632</v>
      </c>
      <c r="B509" t="s">
        <v>582</v>
      </c>
      <c r="C509" t="s">
        <v>82</v>
      </c>
      <c r="D509" t="s">
        <v>35</v>
      </c>
      <c r="E509" s="1">
        <v>1</v>
      </c>
      <c r="F509" s="1">
        <f>VLOOKUP(C509,m_indikator!$A$2:$F$30,5,TRUE)</f>
        <v>100</v>
      </c>
      <c r="G509" s="15">
        <v>17.440000000000001</v>
      </c>
      <c r="H509" s="1">
        <f>VLOOKUP(C509,m_indikator!$A$2:$F$30,6,TRUE)</f>
        <v>3</v>
      </c>
      <c r="I509" s="15">
        <f t="shared" si="14"/>
        <v>0.5232</v>
      </c>
      <c r="J509" t="str">
        <f t="shared" si="15"/>
        <v>update evaluasi set tahun = 1, nilai_maks = 100, nilai_input=17.44, bobot = 3, nilai_akhir = 0.5232, id_indikator = 'C020250227' where id_evaluasi = '20250025_C020250603';</v>
      </c>
      <c r="P509" s="12"/>
      <c r="Q509" s="12"/>
    </row>
    <row r="510" spans="1:17" hidden="1" x14ac:dyDescent="0.35">
      <c r="A510" t="s">
        <v>633</v>
      </c>
      <c r="B510" t="s">
        <v>582</v>
      </c>
      <c r="C510" t="s">
        <v>82</v>
      </c>
      <c r="D510" t="s">
        <v>35</v>
      </c>
      <c r="E510" s="1">
        <v>1</v>
      </c>
      <c r="F510" s="1">
        <f>VLOOKUP(C510,m_indikator!$A$2:$F$30,5,TRUE)</f>
        <v>100</v>
      </c>
      <c r="G510" s="15">
        <v>6.1</v>
      </c>
      <c r="H510" s="1">
        <f>VLOOKUP(C510,m_indikator!$A$2:$F$30,6,TRUE)</f>
        <v>3</v>
      </c>
      <c r="I510" s="15">
        <f t="shared" si="14"/>
        <v>0.183</v>
      </c>
      <c r="J510" t="str">
        <f t="shared" si="15"/>
        <v>update evaluasi set tahun = 1, nilai_maks = 100, nilai_input=6.1, bobot = 3, nilai_akhir = 0.183, id_indikator = 'C020250227' where id_evaluasi = '20250026_C020250603';</v>
      </c>
      <c r="P510" s="12"/>
      <c r="Q510" s="12"/>
    </row>
    <row r="511" spans="1:17" hidden="1" x14ac:dyDescent="0.35">
      <c r="A511" t="s">
        <v>634</v>
      </c>
      <c r="B511" t="s">
        <v>582</v>
      </c>
      <c r="C511" t="s">
        <v>82</v>
      </c>
      <c r="D511" t="s">
        <v>35</v>
      </c>
      <c r="E511" s="1">
        <v>1</v>
      </c>
      <c r="F511" s="1">
        <f>VLOOKUP(C511,m_indikator!$A$2:$F$30,5,TRUE)</f>
        <v>100</v>
      </c>
      <c r="G511" s="15">
        <v>0.74</v>
      </c>
      <c r="H511" s="1">
        <f>VLOOKUP(C511,m_indikator!$A$2:$F$30,6,TRUE)</f>
        <v>3</v>
      </c>
      <c r="I511" s="15">
        <f t="shared" si="14"/>
        <v>2.2200000000000001E-2</v>
      </c>
      <c r="J511" t="str">
        <f t="shared" si="15"/>
        <v>update evaluasi set tahun = 1, nilai_maks = 100, nilai_input=0.74, bobot = 3, nilai_akhir = 0.0222, id_indikator = 'C020250227' where id_evaluasi = '20250027_C020250603';</v>
      </c>
      <c r="P511" s="12"/>
      <c r="Q511" s="12"/>
    </row>
    <row r="512" spans="1:17" hidden="1" x14ac:dyDescent="0.35">
      <c r="A512" t="s">
        <v>635</v>
      </c>
      <c r="B512" t="s">
        <v>582</v>
      </c>
      <c r="C512" t="s">
        <v>82</v>
      </c>
      <c r="D512" t="s">
        <v>35</v>
      </c>
      <c r="E512" s="1">
        <v>1</v>
      </c>
      <c r="F512" s="1">
        <f>VLOOKUP(C512,m_indikator!$A$2:$F$30,5,TRUE)</f>
        <v>100</v>
      </c>
      <c r="G512" s="15">
        <v>26.82</v>
      </c>
      <c r="H512" s="1">
        <f>VLOOKUP(C512,m_indikator!$A$2:$F$30,6,TRUE)</f>
        <v>3</v>
      </c>
      <c r="I512" s="15">
        <f t="shared" si="14"/>
        <v>0.80459999999999998</v>
      </c>
      <c r="J512" t="str">
        <f t="shared" si="15"/>
        <v>update evaluasi set tahun = 1, nilai_maks = 100, nilai_input=26.82, bobot = 3, nilai_akhir = 0.8046, id_indikator = 'C020250227' where id_evaluasi = '20250028_C020250603';</v>
      </c>
      <c r="P512" s="12"/>
      <c r="Q512" s="12"/>
    </row>
    <row r="513" spans="1:17" hidden="1" x14ac:dyDescent="0.35">
      <c r="A513" t="s">
        <v>636</v>
      </c>
      <c r="B513" t="s">
        <v>582</v>
      </c>
      <c r="C513" t="s">
        <v>82</v>
      </c>
      <c r="D513" t="s">
        <v>35</v>
      </c>
      <c r="E513" s="1">
        <v>1</v>
      </c>
      <c r="F513" s="1">
        <f>VLOOKUP(C513,m_indikator!$A$2:$F$30,5,TRUE)</f>
        <v>100</v>
      </c>
      <c r="G513" s="15">
        <v>14.1</v>
      </c>
      <c r="H513" s="1">
        <f>VLOOKUP(C513,m_indikator!$A$2:$F$30,6,TRUE)</f>
        <v>3</v>
      </c>
      <c r="I513" s="15">
        <f t="shared" si="14"/>
        <v>0.42299999999999993</v>
      </c>
      <c r="J513" t="str">
        <f t="shared" si="15"/>
        <v>update evaluasi set tahun = 1, nilai_maks = 100, nilai_input=14.1, bobot = 3, nilai_akhir = 0.423, id_indikator = 'C020250227' where id_evaluasi = '20250029_C020250603';</v>
      </c>
      <c r="P513" s="12"/>
      <c r="Q513" s="12"/>
    </row>
    <row r="514" spans="1:17" hidden="1" x14ac:dyDescent="0.35">
      <c r="A514" t="s">
        <v>637</v>
      </c>
      <c r="B514" t="s">
        <v>582</v>
      </c>
      <c r="C514" t="s">
        <v>82</v>
      </c>
      <c r="D514" t="s">
        <v>35</v>
      </c>
      <c r="E514" s="1">
        <v>1</v>
      </c>
      <c r="F514" s="1">
        <f>VLOOKUP(C514,m_indikator!$A$2:$F$30,5,TRUE)</f>
        <v>100</v>
      </c>
      <c r="G514" s="15">
        <v>14.71</v>
      </c>
      <c r="H514" s="1">
        <f>VLOOKUP(C514,m_indikator!$A$2:$F$30,6,TRUE)</f>
        <v>3</v>
      </c>
      <c r="I514" s="15">
        <f t="shared" ref="I514:I577" si="16">(G514/F514)*H514</f>
        <v>0.44130000000000003</v>
      </c>
      <c r="J514" t="str">
        <f t="shared" ref="J514:J577" si="17">"update evaluasi set tahun = "&amp;E514&amp;", nilai_maks = "&amp;F514&amp;", nilai_input="&amp;G514&amp;", bobot = "&amp;H514&amp;", nilai_akhir = "&amp;I514&amp;", id_indikator = '"&amp;C514&amp;"' where id_evaluasi = '"&amp;A514&amp;"';"</f>
        <v>update evaluasi set tahun = 1, nilai_maks = 100, nilai_input=14.71, bobot = 3, nilai_akhir = 0.4413, id_indikator = 'C020250227' where id_evaluasi = '20250030_C020250603';</v>
      </c>
      <c r="P514" s="12"/>
      <c r="Q514" s="12"/>
    </row>
    <row r="515" spans="1:17" hidden="1" x14ac:dyDescent="0.35">
      <c r="A515" t="s">
        <v>638</v>
      </c>
      <c r="B515" t="s">
        <v>582</v>
      </c>
      <c r="C515" t="s">
        <v>82</v>
      </c>
      <c r="D515" t="s">
        <v>35</v>
      </c>
      <c r="E515" s="1">
        <v>1</v>
      </c>
      <c r="F515" s="1">
        <f>VLOOKUP(C515,m_indikator!$A$2:$F$30,5,TRUE)</f>
        <v>100</v>
      </c>
      <c r="G515" s="15">
        <v>26.19</v>
      </c>
      <c r="H515" s="1">
        <f>VLOOKUP(C515,m_indikator!$A$2:$F$30,6,TRUE)</f>
        <v>3</v>
      </c>
      <c r="I515" s="15">
        <f t="shared" si="16"/>
        <v>0.78570000000000007</v>
      </c>
      <c r="J515" t="str">
        <f t="shared" si="17"/>
        <v>update evaluasi set tahun = 1, nilai_maks = 100, nilai_input=26.19, bobot = 3, nilai_akhir = 0.7857, id_indikator = 'C020250227' where id_evaluasi = '20250031_C020250603';</v>
      </c>
      <c r="P515" s="12"/>
      <c r="Q515" s="12"/>
    </row>
    <row r="516" spans="1:17" hidden="1" x14ac:dyDescent="0.35">
      <c r="A516" t="s">
        <v>639</v>
      </c>
      <c r="B516" t="s">
        <v>582</v>
      </c>
      <c r="C516" t="s">
        <v>82</v>
      </c>
      <c r="D516" t="s">
        <v>35</v>
      </c>
      <c r="E516" s="1">
        <v>1</v>
      </c>
      <c r="F516" s="1">
        <f>VLOOKUP(C516,m_indikator!$A$2:$F$30,5,TRUE)</f>
        <v>100</v>
      </c>
      <c r="G516" s="15">
        <v>0.52</v>
      </c>
      <c r="H516" s="1">
        <f>VLOOKUP(C516,m_indikator!$A$2:$F$30,6,TRUE)</f>
        <v>3</v>
      </c>
      <c r="I516" s="15">
        <f t="shared" si="16"/>
        <v>1.5599999999999999E-2</v>
      </c>
      <c r="J516" t="str">
        <f t="shared" si="17"/>
        <v>update evaluasi set tahun = 1, nilai_maks = 100, nilai_input=0.52, bobot = 3, nilai_akhir = 0.0156, id_indikator = 'C020250227' where id_evaluasi = '20250032_C020250603';</v>
      </c>
      <c r="P516" s="12"/>
      <c r="Q516" s="12"/>
    </row>
    <row r="517" spans="1:17" hidden="1" x14ac:dyDescent="0.35">
      <c r="A517" t="s">
        <v>640</v>
      </c>
      <c r="B517" t="s">
        <v>582</v>
      </c>
      <c r="C517" t="s">
        <v>82</v>
      </c>
      <c r="D517" t="s">
        <v>35</v>
      </c>
      <c r="E517" s="1">
        <v>1</v>
      </c>
      <c r="F517" s="1">
        <f>VLOOKUP(C517,m_indikator!$A$2:$F$30,5,TRUE)</f>
        <v>100</v>
      </c>
      <c r="G517" s="15">
        <v>16.29</v>
      </c>
      <c r="H517" s="1">
        <f>VLOOKUP(C517,m_indikator!$A$2:$F$30,6,TRUE)</f>
        <v>3</v>
      </c>
      <c r="I517" s="15">
        <f t="shared" si="16"/>
        <v>0.48869999999999997</v>
      </c>
      <c r="J517" t="str">
        <f t="shared" si="17"/>
        <v>update evaluasi set tahun = 1, nilai_maks = 100, nilai_input=16.29, bobot = 3, nilai_akhir = 0.4887, id_indikator = 'C020250227' where id_evaluasi = '20250033_C020250603';</v>
      </c>
      <c r="P517" s="12"/>
      <c r="Q517" s="12"/>
    </row>
    <row r="518" spans="1:17" hidden="1" x14ac:dyDescent="0.35">
      <c r="A518" t="s">
        <v>641</v>
      </c>
      <c r="B518" t="s">
        <v>582</v>
      </c>
      <c r="C518" t="s">
        <v>82</v>
      </c>
      <c r="D518" t="s">
        <v>35</v>
      </c>
      <c r="E518" s="1">
        <v>1</v>
      </c>
      <c r="F518" s="1">
        <f>VLOOKUP(C518,m_indikator!$A$2:$F$30,5,TRUE)</f>
        <v>100</v>
      </c>
      <c r="G518" s="15">
        <v>12.84</v>
      </c>
      <c r="H518" s="1">
        <f>VLOOKUP(C518,m_indikator!$A$2:$F$30,6,TRUE)</f>
        <v>3</v>
      </c>
      <c r="I518" s="15">
        <f t="shared" si="16"/>
        <v>0.38519999999999999</v>
      </c>
      <c r="J518" t="str">
        <f t="shared" si="17"/>
        <v>update evaluasi set tahun = 1, nilai_maks = 100, nilai_input=12.84, bobot = 3, nilai_akhir = 0.3852, id_indikator = 'C020250227' where id_evaluasi = '20250034_C020250603';</v>
      </c>
      <c r="P518" s="12"/>
      <c r="Q518" s="12"/>
    </row>
    <row r="519" spans="1:17" hidden="1" x14ac:dyDescent="0.35">
      <c r="A519" t="s">
        <v>642</v>
      </c>
      <c r="B519" t="s">
        <v>582</v>
      </c>
      <c r="C519" t="s">
        <v>82</v>
      </c>
      <c r="D519" t="s">
        <v>35</v>
      </c>
      <c r="E519" s="1">
        <v>1</v>
      </c>
      <c r="F519" s="1">
        <f>VLOOKUP(C519,m_indikator!$A$2:$F$30,5,TRUE)</f>
        <v>100</v>
      </c>
      <c r="G519" s="15">
        <v>4.92</v>
      </c>
      <c r="H519" s="1">
        <f>VLOOKUP(C519,m_indikator!$A$2:$F$30,6,TRUE)</f>
        <v>3</v>
      </c>
      <c r="I519" s="15">
        <f t="shared" si="16"/>
        <v>0.14760000000000001</v>
      </c>
      <c r="J519" t="str">
        <f t="shared" si="17"/>
        <v>update evaluasi set tahun = 1, nilai_maks = 100, nilai_input=4.92, bobot = 3, nilai_akhir = 0.1476, id_indikator = 'C020250227' where id_evaluasi = '20250035_C020250603';</v>
      </c>
      <c r="P519" s="12"/>
      <c r="Q519" s="12"/>
    </row>
    <row r="520" spans="1:17" hidden="1" x14ac:dyDescent="0.35">
      <c r="A520" t="s">
        <v>643</v>
      </c>
      <c r="B520" t="s">
        <v>582</v>
      </c>
      <c r="C520" t="s">
        <v>82</v>
      </c>
      <c r="D520" t="s">
        <v>35</v>
      </c>
      <c r="E520" s="1">
        <v>1</v>
      </c>
      <c r="F520" s="1">
        <f>VLOOKUP(C520,m_indikator!$A$2:$F$30,5,TRUE)</f>
        <v>100</v>
      </c>
      <c r="G520" s="15">
        <v>3.1</v>
      </c>
      <c r="H520" s="1">
        <f>VLOOKUP(C520,m_indikator!$A$2:$F$30,6,TRUE)</f>
        <v>3</v>
      </c>
      <c r="I520" s="15">
        <f t="shared" si="16"/>
        <v>9.2999999999999999E-2</v>
      </c>
      <c r="J520" t="str">
        <f t="shared" si="17"/>
        <v>update evaluasi set tahun = 1, nilai_maks = 100, nilai_input=3.1, bobot = 3, nilai_akhir = 0.093, id_indikator = 'C020250227' where id_evaluasi = '20250036_C020250603';</v>
      </c>
      <c r="P520" s="12"/>
      <c r="Q520" s="12"/>
    </row>
    <row r="521" spans="1:17" hidden="1" x14ac:dyDescent="0.35">
      <c r="A521" t="s">
        <v>644</v>
      </c>
      <c r="B521" t="s">
        <v>582</v>
      </c>
      <c r="C521" t="s">
        <v>82</v>
      </c>
      <c r="D521" t="s">
        <v>35</v>
      </c>
      <c r="E521" s="1">
        <v>1</v>
      </c>
      <c r="F521" s="1">
        <f>VLOOKUP(C521,m_indikator!$A$2:$F$30,5,TRUE)</f>
        <v>100</v>
      </c>
      <c r="G521" s="15">
        <v>49.8</v>
      </c>
      <c r="H521" s="1">
        <f>VLOOKUP(C521,m_indikator!$A$2:$F$30,6,TRUE)</f>
        <v>3</v>
      </c>
      <c r="I521" s="15">
        <f t="shared" si="16"/>
        <v>1.494</v>
      </c>
      <c r="J521" t="str">
        <f t="shared" si="17"/>
        <v>update evaluasi set tahun = 1, nilai_maks = 100, nilai_input=49.8, bobot = 3, nilai_akhir = 1.494, id_indikator = 'C020250227' where id_evaluasi = '20250037_C020250603';</v>
      </c>
      <c r="P521" s="12"/>
      <c r="Q521" s="12"/>
    </row>
    <row r="522" spans="1:17" hidden="1" x14ac:dyDescent="0.35">
      <c r="A522" t="s">
        <v>645</v>
      </c>
      <c r="B522" t="s">
        <v>582</v>
      </c>
      <c r="C522" t="s">
        <v>82</v>
      </c>
      <c r="D522" t="s">
        <v>35</v>
      </c>
      <c r="E522" s="1">
        <v>1</v>
      </c>
      <c r="F522" s="1">
        <f>VLOOKUP(C522,m_indikator!$A$2:$F$30,5,TRUE)</f>
        <v>100</v>
      </c>
      <c r="G522" s="15">
        <v>58.2</v>
      </c>
      <c r="H522" s="1">
        <f>VLOOKUP(C522,m_indikator!$A$2:$F$30,6,TRUE)</f>
        <v>3</v>
      </c>
      <c r="I522" s="15">
        <f t="shared" si="16"/>
        <v>1.7460000000000002</v>
      </c>
      <c r="J522" t="str">
        <f t="shared" si="17"/>
        <v>update evaluasi set tahun = 1, nilai_maks = 100, nilai_input=58.2, bobot = 3, nilai_akhir = 1.746, id_indikator = 'C020250227' where id_evaluasi = '20250038_C020250603';</v>
      </c>
      <c r="K522" s="14"/>
      <c r="P522" s="12"/>
      <c r="Q522" s="12"/>
    </row>
    <row r="523" spans="1:17" hidden="1" x14ac:dyDescent="0.35">
      <c r="A523" t="s">
        <v>581</v>
      </c>
      <c r="B523" t="s">
        <v>582</v>
      </c>
      <c r="C523" t="s">
        <v>82</v>
      </c>
      <c r="D523" t="s">
        <v>35</v>
      </c>
      <c r="E523" s="1">
        <v>1</v>
      </c>
      <c r="F523" s="1">
        <f>VLOOKUP(C523,m_indikator!$A$2:$F$30,5,TRUE)</f>
        <v>100</v>
      </c>
      <c r="G523" s="15">
        <v>0.66</v>
      </c>
      <c r="H523" s="1">
        <f>VLOOKUP(C523,m_indikator!$A$2:$F$30,6,TRUE)</f>
        <v>3</v>
      </c>
      <c r="I523" s="15">
        <f t="shared" si="16"/>
        <v>1.9799999999999998E-2</v>
      </c>
      <c r="J523" t="str">
        <f t="shared" si="17"/>
        <v>update evaluasi set tahun = 1, nilai_maks = 100, nilai_input=0.66, bobot = 3, nilai_akhir = 0.0198, id_indikator = 'C020250227' where id_evaluasi = '20250039_C020250603';</v>
      </c>
      <c r="K523" s="14"/>
      <c r="P523" s="12"/>
      <c r="Q523" s="12"/>
    </row>
    <row r="524" spans="1:17" hidden="1" x14ac:dyDescent="0.35">
      <c r="A524" t="s">
        <v>583</v>
      </c>
      <c r="B524" t="s">
        <v>582</v>
      </c>
      <c r="C524" t="s">
        <v>82</v>
      </c>
      <c r="D524" t="s">
        <v>35</v>
      </c>
      <c r="E524" s="1">
        <v>1</v>
      </c>
      <c r="F524" s="1">
        <f>VLOOKUP(C524,m_indikator!$A$2:$F$30,5,TRUE)</f>
        <v>100</v>
      </c>
      <c r="G524" s="15">
        <v>93.45</v>
      </c>
      <c r="H524" s="1">
        <f>VLOOKUP(C524,m_indikator!$A$2:$F$30,6,TRUE)</f>
        <v>3</v>
      </c>
      <c r="I524" s="15">
        <f t="shared" si="16"/>
        <v>2.8035000000000001</v>
      </c>
      <c r="J524" t="str">
        <f t="shared" si="17"/>
        <v>update evaluasi set tahun = 1, nilai_maks = 100, nilai_input=93.45, bobot = 3, nilai_akhir = 2.8035, id_indikator = 'C020250227' where id_evaluasi = '20250040_C020250603';</v>
      </c>
      <c r="K524" s="14"/>
      <c r="P524" s="12"/>
      <c r="Q524" s="12"/>
    </row>
    <row r="525" spans="1:17" hidden="1" x14ac:dyDescent="0.35">
      <c r="A525" t="s">
        <v>584</v>
      </c>
      <c r="B525" t="s">
        <v>582</v>
      </c>
      <c r="C525" t="s">
        <v>82</v>
      </c>
      <c r="D525" t="s">
        <v>35</v>
      </c>
      <c r="E525" s="1">
        <v>1</v>
      </c>
      <c r="F525" s="1">
        <f>VLOOKUP(C525,m_indikator!$A$2:$F$30,5,TRUE)</f>
        <v>100</v>
      </c>
      <c r="G525" s="15">
        <v>92.38</v>
      </c>
      <c r="H525" s="1">
        <f>VLOOKUP(C525,m_indikator!$A$2:$F$30,6,TRUE)</f>
        <v>3</v>
      </c>
      <c r="I525" s="15">
        <f t="shared" si="16"/>
        <v>2.7713999999999999</v>
      </c>
      <c r="J525" t="str">
        <f t="shared" si="17"/>
        <v>update evaluasi set tahun = 1, nilai_maks = 100, nilai_input=92.38, bobot = 3, nilai_akhir = 2.7714, id_indikator = 'C020250227' where id_evaluasi = '20250041_C020250603';</v>
      </c>
      <c r="P525" s="12"/>
      <c r="Q525" s="12"/>
    </row>
    <row r="526" spans="1:17" hidden="1" x14ac:dyDescent="0.35">
      <c r="A526" t="s">
        <v>585</v>
      </c>
      <c r="B526" t="s">
        <v>582</v>
      </c>
      <c r="C526" t="s">
        <v>82</v>
      </c>
      <c r="D526" t="s">
        <v>35</v>
      </c>
      <c r="E526" s="1">
        <v>1</v>
      </c>
      <c r="F526" s="1">
        <f>VLOOKUP(C526,m_indikator!$A$2:$F$30,5,TRUE)</f>
        <v>100</v>
      </c>
      <c r="G526" s="15">
        <v>96.7</v>
      </c>
      <c r="H526" s="1">
        <f>VLOOKUP(C526,m_indikator!$A$2:$F$30,6,TRUE)</f>
        <v>3</v>
      </c>
      <c r="I526" s="15">
        <f t="shared" si="16"/>
        <v>2.9010000000000002</v>
      </c>
      <c r="J526" t="str">
        <f t="shared" si="17"/>
        <v>update evaluasi set tahun = 1, nilai_maks = 100, nilai_input=96.7, bobot = 3, nilai_akhir = 2.901, id_indikator = 'C020250227' where id_evaluasi = '20250042_C020250603';</v>
      </c>
      <c r="P526" s="12"/>
      <c r="Q526" s="12"/>
    </row>
    <row r="527" spans="1:17" hidden="1" x14ac:dyDescent="0.35">
      <c r="A527" t="s">
        <v>586</v>
      </c>
      <c r="B527" t="s">
        <v>582</v>
      </c>
      <c r="C527" t="s">
        <v>82</v>
      </c>
      <c r="D527" t="s">
        <v>35</v>
      </c>
      <c r="E527" s="1">
        <v>1</v>
      </c>
      <c r="F527" s="1">
        <f>VLOOKUP(C527,m_indikator!$A$2:$F$30,5,TRUE)</f>
        <v>100</v>
      </c>
      <c r="G527" s="15">
        <v>100</v>
      </c>
      <c r="H527" s="1">
        <f>VLOOKUP(C527,m_indikator!$A$2:$F$30,6,TRUE)</f>
        <v>3</v>
      </c>
      <c r="I527" s="15">
        <f t="shared" si="16"/>
        <v>3</v>
      </c>
      <c r="J527" t="str">
        <f t="shared" si="17"/>
        <v>update evaluasi set tahun = 1, nilai_maks = 100, nilai_input=100, bobot = 3, nilai_akhir = 3, id_indikator = 'C020250227' where id_evaluasi = '20250043_C020250603';</v>
      </c>
      <c r="P527" s="12"/>
      <c r="Q527" s="12"/>
    </row>
    <row r="528" spans="1:17" hidden="1" x14ac:dyDescent="0.35">
      <c r="A528" t="s">
        <v>587</v>
      </c>
      <c r="B528" t="s">
        <v>582</v>
      </c>
      <c r="C528" t="s">
        <v>82</v>
      </c>
      <c r="D528" t="s">
        <v>35</v>
      </c>
      <c r="E528" s="1">
        <v>1</v>
      </c>
      <c r="F528" s="1">
        <f>VLOOKUP(C528,m_indikator!$A$2:$F$30,5,TRUE)</f>
        <v>100</v>
      </c>
      <c r="G528" s="15">
        <v>100</v>
      </c>
      <c r="H528" s="1">
        <f>VLOOKUP(C528,m_indikator!$A$2:$F$30,6,TRUE)</f>
        <v>3</v>
      </c>
      <c r="I528" s="15">
        <f t="shared" si="16"/>
        <v>3</v>
      </c>
      <c r="J528" t="str">
        <f t="shared" si="17"/>
        <v>update evaluasi set tahun = 1, nilai_maks = 100, nilai_input=100, bobot = 3, nilai_akhir = 3, id_indikator = 'C020250227' where id_evaluasi = '20250044_C020250603';</v>
      </c>
      <c r="K528" s="14"/>
      <c r="P528" s="12"/>
      <c r="Q528" s="12"/>
    </row>
    <row r="529" spans="1:17" hidden="1" x14ac:dyDescent="0.35">
      <c r="A529" t="s">
        <v>588</v>
      </c>
      <c r="B529" t="s">
        <v>582</v>
      </c>
      <c r="C529" t="s">
        <v>82</v>
      </c>
      <c r="D529" t="s">
        <v>35</v>
      </c>
      <c r="E529" s="1">
        <v>1</v>
      </c>
      <c r="F529" s="1">
        <f>VLOOKUP(C529,m_indikator!$A$2:$F$30,5,TRUE)</f>
        <v>100</v>
      </c>
      <c r="G529" s="15">
        <v>22.92</v>
      </c>
      <c r="H529" s="1">
        <f>VLOOKUP(C529,m_indikator!$A$2:$F$30,6,TRUE)</f>
        <v>3</v>
      </c>
      <c r="I529" s="15">
        <f t="shared" si="16"/>
        <v>0.68759999999999999</v>
      </c>
      <c r="J529" t="str">
        <f t="shared" si="17"/>
        <v>update evaluasi set tahun = 1, nilai_maks = 100, nilai_input=22.92, bobot = 3, nilai_akhir = 0.6876, id_indikator = 'C020250227' where id_evaluasi = '20250045_C020250603';</v>
      </c>
      <c r="P529" s="12"/>
      <c r="Q529" s="12"/>
    </row>
    <row r="530" spans="1:17" hidden="1" x14ac:dyDescent="0.35">
      <c r="A530" t="s">
        <v>589</v>
      </c>
      <c r="B530" t="s">
        <v>582</v>
      </c>
      <c r="C530" t="s">
        <v>82</v>
      </c>
      <c r="D530" t="s">
        <v>35</v>
      </c>
      <c r="E530" s="1">
        <v>1</v>
      </c>
      <c r="F530" s="1">
        <f>VLOOKUP(C530,m_indikator!$A$2:$F$30,5,TRUE)</f>
        <v>100</v>
      </c>
      <c r="G530" s="15">
        <v>25.44</v>
      </c>
      <c r="H530" s="1">
        <f>VLOOKUP(C530,m_indikator!$A$2:$F$30,6,TRUE)</f>
        <v>3</v>
      </c>
      <c r="I530" s="15">
        <f t="shared" si="16"/>
        <v>0.7632000000000001</v>
      </c>
      <c r="J530" t="str">
        <f t="shared" si="17"/>
        <v>update evaluasi set tahun = 1, nilai_maks = 100, nilai_input=25.44, bobot = 3, nilai_akhir = 0.7632, id_indikator = 'C020250227' where id_evaluasi = '20250046_C020250603';</v>
      </c>
      <c r="P530" s="12"/>
      <c r="Q530" s="12"/>
    </row>
    <row r="531" spans="1:17" hidden="1" x14ac:dyDescent="0.35">
      <c r="A531" t="s">
        <v>590</v>
      </c>
      <c r="B531" t="s">
        <v>582</v>
      </c>
      <c r="C531" t="s">
        <v>82</v>
      </c>
      <c r="D531" t="s">
        <v>35</v>
      </c>
      <c r="E531" s="1">
        <v>1</v>
      </c>
      <c r="F531" s="1">
        <f>VLOOKUP(C531,m_indikator!$A$2:$F$30,5,TRUE)</f>
        <v>100</v>
      </c>
      <c r="G531" s="15">
        <v>0</v>
      </c>
      <c r="H531" s="1">
        <f>VLOOKUP(C531,m_indikator!$A$2:$F$30,6,TRUE)</f>
        <v>3</v>
      </c>
      <c r="I531" s="15">
        <f t="shared" si="16"/>
        <v>0</v>
      </c>
      <c r="J531" t="str">
        <f t="shared" si="17"/>
        <v>update evaluasi set tahun = 1, nilai_maks = 100, nilai_input=0, bobot = 3, nilai_akhir = 0, id_indikator = 'C020250227' where id_evaluasi = '20250047_C020250603';</v>
      </c>
      <c r="K531" s="14"/>
      <c r="P531" s="12"/>
      <c r="Q531" s="12"/>
    </row>
    <row r="532" spans="1:17" hidden="1" x14ac:dyDescent="0.35">
      <c r="A532" t="s">
        <v>591</v>
      </c>
      <c r="B532" t="s">
        <v>582</v>
      </c>
      <c r="C532" t="s">
        <v>82</v>
      </c>
      <c r="D532" t="s">
        <v>35</v>
      </c>
      <c r="E532" s="1">
        <v>1</v>
      </c>
      <c r="F532" s="1">
        <f>VLOOKUP(C532,m_indikator!$A$2:$F$30,5,TRUE)</f>
        <v>100</v>
      </c>
      <c r="G532" s="15">
        <v>3.03</v>
      </c>
      <c r="H532" s="1">
        <f>VLOOKUP(C532,m_indikator!$A$2:$F$30,6,TRUE)</f>
        <v>3</v>
      </c>
      <c r="I532" s="15">
        <f t="shared" si="16"/>
        <v>9.0899999999999995E-2</v>
      </c>
      <c r="J532" t="str">
        <f t="shared" si="17"/>
        <v>update evaluasi set tahun = 1, nilai_maks = 100, nilai_input=3.03, bobot = 3, nilai_akhir = 0.0909, id_indikator = 'C020250227' where id_evaluasi = '20250048_C020250603';</v>
      </c>
      <c r="P532" s="12"/>
      <c r="Q532" s="12"/>
    </row>
    <row r="533" spans="1:17" hidden="1" x14ac:dyDescent="0.35">
      <c r="A533" t="s">
        <v>592</v>
      </c>
      <c r="B533" t="s">
        <v>582</v>
      </c>
      <c r="C533" t="s">
        <v>82</v>
      </c>
      <c r="D533" t="s">
        <v>35</v>
      </c>
      <c r="E533" s="1">
        <v>1</v>
      </c>
      <c r="F533" s="1">
        <f>VLOOKUP(C533,m_indikator!$A$2:$F$30,5,TRUE)</f>
        <v>100</v>
      </c>
      <c r="G533" s="15">
        <v>11.36</v>
      </c>
      <c r="H533" s="1">
        <f>VLOOKUP(C533,m_indikator!$A$2:$F$30,6,TRUE)</f>
        <v>3</v>
      </c>
      <c r="I533" s="15">
        <f t="shared" si="16"/>
        <v>0.34079999999999999</v>
      </c>
      <c r="J533" t="str">
        <f t="shared" si="17"/>
        <v>update evaluasi set tahun = 1, nilai_maks = 100, nilai_input=11.36, bobot = 3, nilai_akhir = 0.3408, id_indikator = 'C020250227' where id_evaluasi = '20250049_C020250603';</v>
      </c>
      <c r="P533" s="12"/>
      <c r="Q533" s="12"/>
    </row>
    <row r="534" spans="1:17" hidden="1" x14ac:dyDescent="0.35">
      <c r="A534" t="s">
        <v>593</v>
      </c>
      <c r="B534" t="s">
        <v>582</v>
      </c>
      <c r="C534" t="s">
        <v>82</v>
      </c>
      <c r="D534" t="s">
        <v>35</v>
      </c>
      <c r="E534" s="1">
        <v>1</v>
      </c>
      <c r="F534" s="1">
        <f>VLOOKUP(C534,m_indikator!$A$2:$F$30,5,TRUE)</f>
        <v>100</v>
      </c>
      <c r="G534" s="15">
        <v>7.89</v>
      </c>
      <c r="H534" s="1">
        <f>VLOOKUP(C534,m_indikator!$A$2:$F$30,6,TRUE)</f>
        <v>3</v>
      </c>
      <c r="I534" s="15">
        <f t="shared" si="16"/>
        <v>0.23669999999999999</v>
      </c>
      <c r="J534" t="str">
        <f t="shared" si="17"/>
        <v>update evaluasi set tahun = 1, nilai_maks = 100, nilai_input=7.89, bobot = 3, nilai_akhir = 0.2367, id_indikator = 'C020250227' where id_evaluasi = '20250050_C020250603';</v>
      </c>
      <c r="P534" s="12"/>
      <c r="Q534" s="12"/>
    </row>
    <row r="535" spans="1:17" hidden="1" x14ac:dyDescent="0.35">
      <c r="A535" t="s">
        <v>594</v>
      </c>
      <c r="B535" t="s">
        <v>582</v>
      </c>
      <c r="C535" t="s">
        <v>82</v>
      </c>
      <c r="D535" t="s">
        <v>35</v>
      </c>
      <c r="E535" s="1">
        <v>1</v>
      </c>
      <c r="F535" s="1">
        <f>VLOOKUP(C535,m_indikator!$A$2:$F$30,5,TRUE)</f>
        <v>100</v>
      </c>
      <c r="G535" s="15">
        <v>0</v>
      </c>
      <c r="H535" s="1">
        <f>VLOOKUP(C535,m_indikator!$A$2:$F$30,6,TRUE)</f>
        <v>3</v>
      </c>
      <c r="I535" s="15">
        <f t="shared" si="16"/>
        <v>0</v>
      </c>
      <c r="J535" t="str">
        <f t="shared" si="17"/>
        <v>update evaluasi set tahun = 1, nilai_maks = 100, nilai_input=0, bobot = 3, nilai_akhir = 0, id_indikator = 'C020250227' where id_evaluasi = '20250051_C020250603';</v>
      </c>
      <c r="P535" s="12"/>
      <c r="Q535" s="12"/>
    </row>
    <row r="536" spans="1:17" hidden="1" x14ac:dyDescent="0.35">
      <c r="A536" t="s">
        <v>595</v>
      </c>
      <c r="B536" t="s">
        <v>582</v>
      </c>
      <c r="C536" t="s">
        <v>82</v>
      </c>
      <c r="D536" t="s">
        <v>35</v>
      </c>
      <c r="E536" s="1">
        <v>1</v>
      </c>
      <c r="F536" s="1">
        <f>VLOOKUP(C536,m_indikator!$A$2:$F$30,5,TRUE)</f>
        <v>100</v>
      </c>
      <c r="G536" s="15">
        <v>0</v>
      </c>
      <c r="H536" s="1">
        <f>VLOOKUP(C536,m_indikator!$A$2:$F$30,6,TRUE)</f>
        <v>3</v>
      </c>
      <c r="I536" s="15">
        <f t="shared" si="16"/>
        <v>0</v>
      </c>
      <c r="J536" t="str">
        <f t="shared" si="17"/>
        <v>update evaluasi set tahun = 1, nilai_maks = 100, nilai_input=0, bobot = 3, nilai_akhir = 0, id_indikator = 'C020250227' where id_evaluasi = '20250052_C020250603';</v>
      </c>
      <c r="P536" s="12"/>
      <c r="Q536" s="12"/>
    </row>
    <row r="537" spans="1:17" hidden="1" x14ac:dyDescent="0.35">
      <c r="A537" t="s">
        <v>596</v>
      </c>
      <c r="B537" t="s">
        <v>582</v>
      </c>
      <c r="C537" t="s">
        <v>82</v>
      </c>
      <c r="D537" t="s">
        <v>35</v>
      </c>
      <c r="E537" s="1">
        <v>1</v>
      </c>
      <c r="F537" s="1">
        <f>VLOOKUP(C537,m_indikator!$A$2:$F$30,5,TRUE)</f>
        <v>100</v>
      </c>
      <c r="G537" s="15">
        <v>0</v>
      </c>
      <c r="H537" s="1">
        <f>VLOOKUP(C537,m_indikator!$A$2:$F$30,6,TRUE)</f>
        <v>3</v>
      </c>
      <c r="I537" s="15">
        <f t="shared" si="16"/>
        <v>0</v>
      </c>
      <c r="J537" t="str">
        <f t="shared" si="17"/>
        <v>update evaluasi set tahun = 1, nilai_maks = 100, nilai_input=0, bobot = 3, nilai_akhir = 0, id_indikator = 'C020250227' where id_evaluasi = '20250053_C020250603';</v>
      </c>
      <c r="P537" s="12"/>
      <c r="Q537" s="12"/>
    </row>
    <row r="538" spans="1:17" hidden="1" x14ac:dyDescent="0.35">
      <c r="A538" t="s">
        <v>597</v>
      </c>
      <c r="B538" t="s">
        <v>582</v>
      </c>
      <c r="C538" t="s">
        <v>82</v>
      </c>
      <c r="D538" t="s">
        <v>35</v>
      </c>
      <c r="E538" s="1">
        <v>1</v>
      </c>
      <c r="F538" s="1">
        <f>VLOOKUP(C538,m_indikator!$A$2:$F$30,5,TRUE)</f>
        <v>100</v>
      </c>
      <c r="G538" s="15">
        <v>24.77</v>
      </c>
      <c r="H538" s="1">
        <f>VLOOKUP(C538,m_indikator!$A$2:$F$30,6,TRUE)</f>
        <v>3</v>
      </c>
      <c r="I538" s="15">
        <f t="shared" si="16"/>
        <v>0.74309999999999998</v>
      </c>
      <c r="J538" t="str">
        <f t="shared" si="17"/>
        <v>update evaluasi set tahun = 1, nilai_maks = 100, nilai_input=24.77, bobot = 3, nilai_akhir = 0.7431, id_indikator = 'C020250227' where id_evaluasi = '20250054_C020250603';</v>
      </c>
      <c r="P538" s="12"/>
      <c r="Q538" s="12"/>
    </row>
    <row r="539" spans="1:17" hidden="1" x14ac:dyDescent="0.35">
      <c r="A539" t="s">
        <v>598</v>
      </c>
      <c r="B539" t="s">
        <v>582</v>
      </c>
      <c r="C539" t="s">
        <v>82</v>
      </c>
      <c r="D539" t="s">
        <v>35</v>
      </c>
      <c r="E539" s="1">
        <v>1</v>
      </c>
      <c r="F539" s="1">
        <f>VLOOKUP(C539,m_indikator!$A$2:$F$30,5,TRUE)</f>
        <v>100</v>
      </c>
      <c r="G539" s="15">
        <v>0</v>
      </c>
      <c r="H539" s="1">
        <f>VLOOKUP(C539,m_indikator!$A$2:$F$30,6,TRUE)</f>
        <v>3</v>
      </c>
      <c r="I539" s="15">
        <f t="shared" si="16"/>
        <v>0</v>
      </c>
      <c r="J539" t="str">
        <f t="shared" si="17"/>
        <v>update evaluasi set tahun = 1, nilai_maks = 100, nilai_input=0, bobot = 3, nilai_akhir = 0, id_indikator = 'C020250227' where id_evaluasi = '20250055_C020250603';</v>
      </c>
      <c r="P539" s="12"/>
      <c r="Q539" s="12"/>
    </row>
    <row r="540" spans="1:17" hidden="1" x14ac:dyDescent="0.35">
      <c r="A540" t="s">
        <v>599</v>
      </c>
      <c r="B540" t="s">
        <v>582</v>
      </c>
      <c r="C540" t="s">
        <v>82</v>
      </c>
      <c r="D540" t="s">
        <v>35</v>
      </c>
      <c r="E540" s="1">
        <v>1</v>
      </c>
      <c r="F540" s="1">
        <f>VLOOKUP(C540,m_indikator!$A$2:$F$30,5,TRUE)</f>
        <v>100</v>
      </c>
      <c r="G540" s="15">
        <v>80.45</v>
      </c>
      <c r="H540" s="1">
        <f>VLOOKUP(C540,m_indikator!$A$2:$F$30,6,TRUE)</f>
        <v>3</v>
      </c>
      <c r="I540" s="15">
        <f t="shared" si="16"/>
        <v>2.4135</v>
      </c>
      <c r="J540" t="str">
        <f t="shared" si="17"/>
        <v>update evaluasi set tahun = 1, nilai_maks = 100, nilai_input=80.45, bobot = 3, nilai_akhir = 2.4135, id_indikator = 'C020250227' where id_evaluasi = '20250095_C020250603';</v>
      </c>
      <c r="P540" s="12"/>
      <c r="Q540" s="12"/>
    </row>
    <row r="541" spans="1:17" hidden="1" x14ac:dyDescent="0.35">
      <c r="A541" t="s">
        <v>600</v>
      </c>
      <c r="B541" t="s">
        <v>582</v>
      </c>
      <c r="C541" t="s">
        <v>82</v>
      </c>
      <c r="D541" t="s">
        <v>35</v>
      </c>
      <c r="E541" s="1">
        <v>1</v>
      </c>
      <c r="F541" s="1">
        <f>VLOOKUP(C541,m_indikator!$A$2:$F$30,5,TRUE)</f>
        <v>100</v>
      </c>
      <c r="G541" s="15">
        <v>76.89</v>
      </c>
      <c r="H541" s="1">
        <f>VLOOKUP(C541,m_indikator!$A$2:$F$30,6,TRUE)</f>
        <v>3</v>
      </c>
      <c r="I541" s="15">
        <f t="shared" si="16"/>
        <v>2.3067000000000002</v>
      </c>
      <c r="J541" t="str">
        <f t="shared" si="17"/>
        <v>update evaluasi set tahun = 1, nilai_maks = 100, nilai_input=76.89, bobot = 3, nilai_akhir = 2.3067, id_indikator = 'C020250227' where id_evaluasi = '20250103_C020250603';</v>
      </c>
      <c r="P541" s="12"/>
      <c r="Q541" s="12"/>
    </row>
    <row r="542" spans="1:17" hidden="1" x14ac:dyDescent="0.35">
      <c r="A542" t="s">
        <v>601</v>
      </c>
      <c r="B542" t="s">
        <v>582</v>
      </c>
      <c r="C542" t="s">
        <v>82</v>
      </c>
      <c r="D542" t="s">
        <v>35</v>
      </c>
      <c r="E542" s="1">
        <v>1</v>
      </c>
      <c r="F542" s="1">
        <f>VLOOKUP(C542,m_indikator!$A$2:$F$30,5,TRUE)</f>
        <v>100</v>
      </c>
      <c r="G542" s="15">
        <v>10.3</v>
      </c>
      <c r="H542" s="1">
        <f>VLOOKUP(C542,m_indikator!$A$2:$F$30,6,TRUE)</f>
        <v>3</v>
      </c>
      <c r="I542" s="15">
        <f t="shared" si="16"/>
        <v>0.30900000000000005</v>
      </c>
      <c r="J542" t="str">
        <f t="shared" si="17"/>
        <v>update evaluasi set tahun = 1, nilai_maks = 100, nilai_input=10.3, bobot = 3, nilai_akhir = 0.309, id_indikator = 'C020250227' where id_evaluasi = '20250104_C020250603';</v>
      </c>
      <c r="P542" s="12"/>
      <c r="Q542" s="12"/>
    </row>
    <row r="543" spans="1:17" hidden="1" x14ac:dyDescent="0.35">
      <c r="A543" t="s">
        <v>602</v>
      </c>
      <c r="B543" t="s">
        <v>582</v>
      </c>
      <c r="C543" t="s">
        <v>82</v>
      </c>
      <c r="D543" t="s">
        <v>35</v>
      </c>
      <c r="E543" s="1">
        <v>1</v>
      </c>
      <c r="F543" s="1">
        <f>VLOOKUP(C543,m_indikator!$A$2:$F$30,5,TRUE)</f>
        <v>100</v>
      </c>
      <c r="G543" s="15">
        <v>16.440000000000001</v>
      </c>
      <c r="H543" s="1">
        <f>VLOOKUP(C543,m_indikator!$A$2:$F$30,6,TRUE)</f>
        <v>3</v>
      </c>
      <c r="I543" s="15">
        <f t="shared" si="16"/>
        <v>0.49320000000000008</v>
      </c>
      <c r="J543" t="str">
        <f t="shared" si="17"/>
        <v>update evaluasi set tahun = 1, nilai_maks = 100, nilai_input=16.44, bobot = 3, nilai_akhir = 0.4932, id_indikator = 'C020250227' where id_evaluasi = '20250105_C020250603';</v>
      </c>
      <c r="P543" s="12"/>
      <c r="Q543" s="12"/>
    </row>
    <row r="544" spans="1:17" hidden="1" x14ac:dyDescent="0.35">
      <c r="A544" t="s">
        <v>603</v>
      </c>
      <c r="B544" t="s">
        <v>582</v>
      </c>
      <c r="C544" t="s">
        <v>82</v>
      </c>
      <c r="D544" t="s">
        <v>35</v>
      </c>
      <c r="E544" s="1">
        <v>1</v>
      </c>
      <c r="F544" s="1">
        <f>VLOOKUP(C544,m_indikator!$A$2:$F$30,5,TRUE)</f>
        <v>100</v>
      </c>
      <c r="G544" s="15">
        <v>24.21</v>
      </c>
      <c r="H544" s="1">
        <f>VLOOKUP(C544,m_indikator!$A$2:$F$30,6,TRUE)</f>
        <v>3</v>
      </c>
      <c r="I544" s="15">
        <f t="shared" si="16"/>
        <v>0.72630000000000006</v>
      </c>
      <c r="J544" t="str">
        <f t="shared" si="17"/>
        <v>update evaluasi set tahun = 1, nilai_maks = 100, nilai_input=24.21, bobot = 3, nilai_akhir = 0.7263, id_indikator = 'C020250227' where id_evaluasi = '20250106_C020250603';</v>
      </c>
      <c r="P544" s="12"/>
      <c r="Q544" s="12"/>
    </row>
    <row r="545" spans="1:22" hidden="1" x14ac:dyDescent="0.35">
      <c r="A545" t="s">
        <v>604</v>
      </c>
      <c r="B545" t="s">
        <v>582</v>
      </c>
      <c r="C545" t="s">
        <v>82</v>
      </c>
      <c r="D545" t="s">
        <v>35</v>
      </c>
      <c r="E545" s="1">
        <v>1</v>
      </c>
      <c r="F545" s="1">
        <f>VLOOKUP(C545,m_indikator!$A$2:$F$30,5,TRUE)</f>
        <v>100</v>
      </c>
      <c r="G545" s="15">
        <v>3.76</v>
      </c>
      <c r="H545" s="1">
        <f>VLOOKUP(C545,m_indikator!$A$2:$F$30,6,TRUE)</f>
        <v>3</v>
      </c>
      <c r="I545" s="15">
        <f t="shared" si="16"/>
        <v>0.11279999999999998</v>
      </c>
      <c r="J545" t="str">
        <f t="shared" si="17"/>
        <v>update evaluasi set tahun = 1, nilai_maks = 100, nilai_input=3.76, bobot = 3, nilai_akhir = 0.1128, id_indikator = 'C020250227' where id_evaluasi = '20250107_C020250603';</v>
      </c>
      <c r="P545" s="12"/>
      <c r="Q545" s="12"/>
    </row>
    <row r="546" spans="1:22" hidden="1" x14ac:dyDescent="0.35">
      <c r="A546" t="s">
        <v>605</v>
      </c>
      <c r="B546" t="s">
        <v>582</v>
      </c>
      <c r="C546" t="s">
        <v>82</v>
      </c>
      <c r="D546" t="s">
        <v>35</v>
      </c>
      <c r="E546" s="1">
        <v>1</v>
      </c>
      <c r="F546" s="1">
        <f>VLOOKUP(C546,m_indikator!$A$2:$F$30,5,TRUE)</f>
        <v>100</v>
      </c>
      <c r="G546" s="15">
        <v>100</v>
      </c>
      <c r="H546" s="1">
        <f>VLOOKUP(C546,m_indikator!$A$2:$F$30,6,TRUE)</f>
        <v>3</v>
      </c>
      <c r="I546" s="15">
        <f t="shared" si="16"/>
        <v>3</v>
      </c>
      <c r="J546" t="str">
        <f t="shared" si="17"/>
        <v>update evaluasi set tahun = 1, nilai_maks = 100, nilai_input=100, bobot = 3, nilai_akhir = 3, id_indikator = 'C020250227' where id_evaluasi = '20250108_C020250603';</v>
      </c>
      <c r="P546" s="12"/>
      <c r="Q546" s="12"/>
    </row>
    <row r="547" spans="1:22" hidden="1" x14ac:dyDescent="0.35">
      <c r="A547" t="s">
        <v>606</v>
      </c>
      <c r="B547" t="s">
        <v>582</v>
      </c>
      <c r="C547" t="s">
        <v>82</v>
      </c>
      <c r="D547" t="s">
        <v>35</v>
      </c>
      <c r="E547" s="1">
        <v>1</v>
      </c>
      <c r="F547" s="1">
        <f>VLOOKUP(C547,m_indikator!$A$2:$F$30,5,TRUE)</f>
        <v>100</v>
      </c>
      <c r="G547" s="15">
        <v>14.47</v>
      </c>
      <c r="H547" s="1">
        <f>VLOOKUP(C547,m_indikator!$A$2:$F$30,6,TRUE)</f>
        <v>3</v>
      </c>
      <c r="I547" s="15">
        <f t="shared" si="16"/>
        <v>0.43409999999999999</v>
      </c>
      <c r="J547" t="str">
        <f t="shared" si="17"/>
        <v>update evaluasi set tahun = 1, nilai_maks = 100, nilai_input=14.47, bobot = 3, nilai_akhir = 0.4341, id_indikator = 'C020250227' where id_evaluasi = '20250109_C020250603';</v>
      </c>
      <c r="P547" s="12"/>
      <c r="Q547" s="12"/>
    </row>
    <row r="548" spans="1:22" hidden="1" x14ac:dyDescent="0.35">
      <c r="A548" t="s">
        <v>607</v>
      </c>
      <c r="B548" t="s">
        <v>582</v>
      </c>
      <c r="C548" t="s">
        <v>82</v>
      </c>
      <c r="D548" t="s">
        <v>35</v>
      </c>
      <c r="E548" s="1">
        <v>1</v>
      </c>
      <c r="F548" s="1">
        <f>VLOOKUP(C548,m_indikator!$A$2:$F$30,5,TRUE)</f>
        <v>100</v>
      </c>
      <c r="G548" s="15">
        <v>100</v>
      </c>
      <c r="H548" s="1">
        <f>VLOOKUP(C548,m_indikator!$A$2:$F$30,6,TRUE)</f>
        <v>3</v>
      </c>
      <c r="I548" s="15">
        <f t="shared" si="16"/>
        <v>3</v>
      </c>
      <c r="J548" t="str">
        <f t="shared" si="17"/>
        <v>update evaluasi set tahun = 1, nilai_maks = 100, nilai_input=100, bobot = 3, nilai_akhir = 3, id_indikator = 'C020250227' where id_evaluasi = '20250110_C020250603';</v>
      </c>
      <c r="K548" s="14"/>
      <c r="P548" s="12"/>
      <c r="Q548" s="12"/>
    </row>
    <row r="549" spans="1:22" hidden="1" x14ac:dyDescent="0.35">
      <c r="A549" t="s">
        <v>665</v>
      </c>
      <c r="B549" t="s">
        <v>647</v>
      </c>
      <c r="C549" t="s">
        <v>84</v>
      </c>
      <c r="D549" t="s">
        <v>85</v>
      </c>
      <c r="E549" s="1">
        <v>1</v>
      </c>
      <c r="F549" s="1">
        <f>VLOOKUP(C549,m_indikator!$A$2:$F$30,5,TRUE)</f>
        <v>5</v>
      </c>
      <c r="G549" s="15">
        <v>3</v>
      </c>
      <c r="H549" s="1">
        <f>VLOOKUP(C549,m_indikator!$A$2:$F$30,6,TRUE)</f>
        <v>3</v>
      </c>
      <c r="I549" s="15">
        <f t="shared" si="16"/>
        <v>1.7999999999999998</v>
      </c>
      <c r="J549" t="str">
        <f t="shared" si="17"/>
        <v>update evaluasi set tahun = 1, nilai_maks = 5, nilai_input=3, bobot = 3, nilai_akhir = 1.8, id_indikator = 'C020250229' where id_evaluasi = '20250001_C020250605';</v>
      </c>
      <c r="P549" s="12"/>
      <c r="Q549" s="12"/>
      <c r="U549" s="13"/>
      <c r="V549" s="13"/>
    </row>
    <row r="550" spans="1:22" hidden="1" x14ac:dyDescent="0.35">
      <c r="A550" t="s">
        <v>666</v>
      </c>
      <c r="B550" t="s">
        <v>647</v>
      </c>
      <c r="C550" t="s">
        <v>84</v>
      </c>
      <c r="D550" t="s">
        <v>85</v>
      </c>
      <c r="E550" s="1">
        <v>1</v>
      </c>
      <c r="F550" s="1">
        <f>VLOOKUP(C550,m_indikator!$A$2:$F$30,5,TRUE)</f>
        <v>5</v>
      </c>
      <c r="G550" s="15">
        <v>3</v>
      </c>
      <c r="H550" s="1">
        <f>VLOOKUP(C550,m_indikator!$A$2:$F$30,6,TRUE)</f>
        <v>3</v>
      </c>
      <c r="I550" s="15">
        <f t="shared" si="16"/>
        <v>1.7999999999999998</v>
      </c>
      <c r="J550" t="str">
        <f t="shared" si="17"/>
        <v>update evaluasi set tahun = 1, nilai_maks = 5, nilai_input=3, bobot = 3, nilai_akhir = 1.8, id_indikator = 'C020250229' where id_evaluasi = '20250002_C020250605';</v>
      </c>
    </row>
    <row r="551" spans="1:22" hidden="1" x14ac:dyDescent="0.35">
      <c r="A551" t="s">
        <v>667</v>
      </c>
      <c r="B551" t="s">
        <v>647</v>
      </c>
      <c r="C551" t="s">
        <v>84</v>
      </c>
      <c r="D551" t="s">
        <v>85</v>
      </c>
      <c r="E551" s="1">
        <v>1</v>
      </c>
      <c r="F551" s="1">
        <f>VLOOKUP(C551,m_indikator!$A$2:$F$30,5,TRUE)</f>
        <v>5</v>
      </c>
      <c r="G551" s="15">
        <v>1</v>
      </c>
      <c r="H551" s="1">
        <f>VLOOKUP(C551,m_indikator!$A$2:$F$30,6,TRUE)</f>
        <v>3</v>
      </c>
      <c r="I551" s="15">
        <f t="shared" si="16"/>
        <v>0.60000000000000009</v>
      </c>
      <c r="J551" t="str">
        <f t="shared" si="17"/>
        <v>update evaluasi set tahun = 1, nilai_maks = 5, nilai_input=1, bobot = 3, nilai_akhir = 0.6, id_indikator = 'C020250229' where id_evaluasi = '20250003_C020250605';</v>
      </c>
    </row>
    <row r="552" spans="1:22" hidden="1" x14ac:dyDescent="0.35">
      <c r="A552" t="s">
        <v>668</v>
      </c>
      <c r="B552" t="s">
        <v>647</v>
      </c>
      <c r="C552" t="s">
        <v>84</v>
      </c>
      <c r="D552" t="s">
        <v>85</v>
      </c>
      <c r="E552" s="1">
        <v>1</v>
      </c>
      <c r="F552" s="1">
        <f>VLOOKUP(C552,m_indikator!$A$2:$F$30,5,TRUE)</f>
        <v>5</v>
      </c>
      <c r="G552" s="15">
        <v>4</v>
      </c>
      <c r="H552" s="1">
        <f>VLOOKUP(C552,m_indikator!$A$2:$F$30,6,TRUE)</f>
        <v>3</v>
      </c>
      <c r="I552" s="15">
        <f t="shared" si="16"/>
        <v>2.4000000000000004</v>
      </c>
      <c r="J552" t="str">
        <f t="shared" si="17"/>
        <v>update evaluasi set tahun = 1, nilai_maks = 5, nilai_input=4, bobot = 3, nilai_akhir = 2.4, id_indikator = 'C020250229' where id_evaluasi = '20250004_C020250605';</v>
      </c>
    </row>
    <row r="553" spans="1:22" hidden="1" x14ac:dyDescent="0.35">
      <c r="A553" t="s">
        <v>669</v>
      </c>
      <c r="B553" t="s">
        <v>647</v>
      </c>
      <c r="C553" t="s">
        <v>84</v>
      </c>
      <c r="D553" t="s">
        <v>85</v>
      </c>
      <c r="E553" s="1">
        <v>1</v>
      </c>
      <c r="F553" s="1">
        <f>VLOOKUP(C553,m_indikator!$A$2:$F$30,5,TRUE)</f>
        <v>5</v>
      </c>
      <c r="G553" s="15">
        <v>1</v>
      </c>
      <c r="H553" s="1">
        <f>VLOOKUP(C553,m_indikator!$A$2:$F$30,6,TRUE)</f>
        <v>3</v>
      </c>
      <c r="I553" s="15">
        <f t="shared" si="16"/>
        <v>0.60000000000000009</v>
      </c>
      <c r="J553" t="str">
        <f t="shared" si="17"/>
        <v>update evaluasi set tahun = 1, nilai_maks = 5, nilai_input=1, bobot = 3, nilai_akhir = 0.6, id_indikator = 'C020250229' where id_evaluasi = '20250005_C020250605';</v>
      </c>
    </row>
    <row r="554" spans="1:22" hidden="1" x14ac:dyDescent="0.35">
      <c r="A554" t="s">
        <v>670</v>
      </c>
      <c r="B554" t="s">
        <v>647</v>
      </c>
      <c r="C554" t="s">
        <v>84</v>
      </c>
      <c r="D554" t="s">
        <v>85</v>
      </c>
      <c r="E554" s="1">
        <v>1</v>
      </c>
      <c r="F554" s="1">
        <f>VLOOKUP(C554,m_indikator!$A$2:$F$30,5,TRUE)</f>
        <v>5</v>
      </c>
      <c r="G554" s="15">
        <v>1</v>
      </c>
      <c r="H554" s="1">
        <f>VLOOKUP(C554,m_indikator!$A$2:$F$30,6,TRUE)</f>
        <v>3</v>
      </c>
      <c r="I554" s="15">
        <f t="shared" si="16"/>
        <v>0.60000000000000009</v>
      </c>
      <c r="J554" t="str">
        <f t="shared" si="17"/>
        <v>update evaluasi set tahun = 1, nilai_maks = 5, nilai_input=1, bobot = 3, nilai_akhir = 0.6, id_indikator = 'C020250229' where id_evaluasi = '20250006_C020250605';</v>
      </c>
    </row>
    <row r="555" spans="1:22" hidden="1" x14ac:dyDescent="0.35">
      <c r="A555" t="s">
        <v>671</v>
      </c>
      <c r="B555" t="s">
        <v>647</v>
      </c>
      <c r="C555" t="s">
        <v>84</v>
      </c>
      <c r="D555" t="s">
        <v>85</v>
      </c>
      <c r="E555" s="1">
        <v>1</v>
      </c>
      <c r="F555" s="1">
        <f>VLOOKUP(C555,m_indikator!$A$2:$F$30,5,TRUE)</f>
        <v>5</v>
      </c>
      <c r="G555" s="15">
        <v>1</v>
      </c>
      <c r="H555" s="1">
        <f>VLOOKUP(C555,m_indikator!$A$2:$F$30,6,TRUE)</f>
        <v>3</v>
      </c>
      <c r="I555" s="15">
        <f t="shared" si="16"/>
        <v>0.60000000000000009</v>
      </c>
      <c r="J555" t="str">
        <f t="shared" si="17"/>
        <v>update evaluasi set tahun = 1, nilai_maks = 5, nilai_input=1, bobot = 3, nilai_akhir = 0.6, id_indikator = 'C020250229' where id_evaluasi = '20250007_C020250605';</v>
      </c>
    </row>
    <row r="556" spans="1:22" hidden="1" x14ac:dyDescent="0.35">
      <c r="A556" t="s">
        <v>672</v>
      </c>
      <c r="B556" t="s">
        <v>647</v>
      </c>
      <c r="C556" t="s">
        <v>84</v>
      </c>
      <c r="D556" t="s">
        <v>85</v>
      </c>
      <c r="E556" s="1">
        <v>1</v>
      </c>
      <c r="F556" s="1">
        <f>VLOOKUP(C556,m_indikator!$A$2:$F$30,5,TRUE)</f>
        <v>5</v>
      </c>
      <c r="G556" s="15">
        <v>1</v>
      </c>
      <c r="H556" s="1">
        <f>VLOOKUP(C556,m_indikator!$A$2:$F$30,6,TRUE)</f>
        <v>3</v>
      </c>
      <c r="I556" s="15">
        <f t="shared" si="16"/>
        <v>0.60000000000000009</v>
      </c>
      <c r="J556" t="str">
        <f t="shared" si="17"/>
        <v>update evaluasi set tahun = 1, nilai_maks = 5, nilai_input=1, bobot = 3, nilai_akhir = 0.6, id_indikator = 'C020250229' where id_evaluasi = '20250008_C020250605';</v>
      </c>
    </row>
    <row r="557" spans="1:22" hidden="1" x14ac:dyDescent="0.35">
      <c r="A557" t="s">
        <v>673</v>
      </c>
      <c r="B557" t="s">
        <v>647</v>
      </c>
      <c r="C557" t="s">
        <v>84</v>
      </c>
      <c r="D557" t="s">
        <v>85</v>
      </c>
      <c r="E557" s="1">
        <v>1</v>
      </c>
      <c r="F557" s="1">
        <f>VLOOKUP(C557,m_indikator!$A$2:$F$30,5,TRUE)</f>
        <v>5</v>
      </c>
      <c r="G557" s="15">
        <v>4</v>
      </c>
      <c r="H557" s="1">
        <f>VLOOKUP(C557,m_indikator!$A$2:$F$30,6,TRUE)</f>
        <v>3</v>
      </c>
      <c r="I557" s="15">
        <f t="shared" si="16"/>
        <v>2.4000000000000004</v>
      </c>
      <c r="J557" t="str">
        <f t="shared" si="17"/>
        <v>update evaluasi set tahun = 1, nilai_maks = 5, nilai_input=4, bobot = 3, nilai_akhir = 2.4, id_indikator = 'C020250229' where id_evaluasi = '20250009_C020250605';</v>
      </c>
    </row>
    <row r="558" spans="1:22" hidden="1" x14ac:dyDescent="0.35">
      <c r="A558" t="s">
        <v>674</v>
      </c>
      <c r="B558" t="s">
        <v>647</v>
      </c>
      <c r="C558" t="s">
        <v>84</v>
      </c>
      <c r="D558" t="s">
        <v>85</v>
      </c>
      <c r="E558" s="1">
        <v>1</v>
      </c>
      <c r="F558" s="1">
        <f>VLOOKUP(C558,m_indikator!$A$2:$F$30,5,TRUE)</f>
        <v>5</v>
      </c>
      <c r="G558" s="15">
        <v>3</v>
      </c>
      <c r="H558" s="1">
        <f>VLOOKUP(C558,m_indikator!$A$2:$F$30,6,TRUE)</f>
        <v>3</v>
      </c>
      <c r="I558" s="15">
        <f t="shared" si="16"/>
        <v>1.7999999999999998</v>
      </c>
      <c r="J558" t="str">
        <f t="shared" si="17"/>
        <v>update evaluasi set tahun = 1, nilai_maks = 5, nilai_input=3, bobot = 3, nilai_akhir = 1.8, id_indikator = 'C020250229' where id_evaluasi = '20250010_C020250605';</v>
      </c>
    </row>
    <row r="559" spans="1:22" hidden="1" x14ac:dyDescent="0.35">
      <c r="A559" t="s">
        <v>675</v>
      </c>
      <c r="B559" t="s">
        <v>647</v>
      </c>
      <c r="C559" t="s">
        <v>84</v>
      </c>
      <c r="D559" t="s">
        <v>85</v>
      </c>
      <c r="E559" s="1">
        <v>1</v>
      </c>
      <c r="F559" s="1">
        <f>VLOOKUP(C559,m_indikator!$A$2:$F$30,5,TRUE)</f>
        <v>5</v>
      </c>
      <c r="G559" s="15">
        <v>3</v>
      </c>
      <c r="H559" s="1">
        <f>VLOOKUP(C559,m_indikator!$A$2:$F$30,6,TRUE)</f>
        <v>3</v>
      </c>
      <c r="I559" s="15">
        <f t="shared" si="16"/>
        <v>1.7999999999999998</v>
      </c>
      <c r="J559" t="str">
        <f t="shared" si="17"/>
        <v>update evaluasi set tahun = 1, nilai_maks = 5, nilai_input=3, bobot = 3, nilai_akhir = 1.8, id_indikator = 'C020250229' where id_evaluasi = '20250011_C020250605';</v>
      </c>
    </row>
    <row r="560" spans="1:22" hidden="1" x14ac:dyDescent="0.35">
      <c r="A560" t="s">
        <v>676</v>
      </c>
      <c r="B560" t="s">
        <v>647</v>
      </c>
      <c r="C560" t="s">
        <v>84</v>
      </c>
      <c r="D560" t="s">
        <v>85</v>
      </c>
      <c r="E560" s="1">
        <v>1</v>
      </c>
      <c r="F560" s="1">
        <f>VLOOKUP(C560,m_indikator!$A$2:$F$30,5,TRUE)</f>
        <v>5</v>
      </c>
      <c r="G560" s="15">
        <v>3</v>
      </c>
      <c r="H560" s="1">
        <f>VLOOKUP(C560,m_indikator!$A$2:$F$30,6,TRUE)</f>
        <v>3</v>
      </c>
      <c r="I560" s="15">
        <f t="shared" si="16"/>
        <v>1.7999999999999998</v>
      </c>
      <c r="J560" t="str">
        <f t="shared" si="17"/>
        <v>update evaluasi set tahun = 1, nilai_maks = 5, nilai_input=3, bobot = 3, nilai_akhir = 1.8, id_indikator = 'C020250229' where id_evaluasi = '20250012_C020250605';</v>
      </c>
    </row>
    <row r="561" spans="1:10" hidden="1" x14ac:dyDescent="0.35">
      <c r="A561" t="s">
        <v>677</v>
      </c>
      <c r="B561" t="s">
        <v>647</v>
      </c>
      <c r="C561" t="s">
        <v>84</v>
      </c>
      <c r="D561" t="s">
        <v>85</v>
      </c>
      <c r="E561" s="1">
        <v>1</v>
      </c>
      <c r="F561" s="1">
        <f>VLOOKUP(C561,m_indikator!$A$2:$F$30,5,TRUE)</f>
        <v>5</v>
      </c>
      <c r="G561" s="15">
        <v>3</v>
      </c>
      <c r="H561" s="1">
        <f>VLOOKUP(C561,m_indikator!$A$2:$F$30,6,TRUE)</f>
        <v>3</v>
      </c>
      <c r="I561" s="15">
        <f t="shared" si="16"/>
        <v>1.7999999999999998</v>
      </c>
      <c r="J561" t="str">
        <f t="shared" si="17"/>
        <v>update evaluasi set tahun = 1, nilai_maks = 5, nilai_input=3, bobot = 3, nilai_akhir = 1.8, id_indikator = 'C020250229' where id_evaluasi = '20250013_C020250605';</v>
      </c>
    </row>
    <row r="562" spans="1:10" hidden="1" x14ac:dyDescent="0.35">
      <c r="A562" t="s">
        <v>678</v>
      </c>
      <c r="B562" t="s">
        <v>647</v>
      </c>
      <c r="C562" t="s">
        <v>84</v>
      </c>
      <c r="D562" t="s">
        <v>85</v>
      </c>
      <c r="E562" s="1">
        <v>1</v>
      </c>
      <c r="F562" s="1">
        <f>VLOOKUP(C562,m_indikator!$A$2:$F$30,5,TRUE)</f>
        <v>5</v>
      </c>
      <c r="G562" s="15">
        <v>3</v>
      </c>
      <c r="H562" s="1">
        <f>VLOOKUP(C562,m_indikator!$A$2:$F$30,6,TRUE)</f>
        <v>3</v>
      </c>
      <c r="I562" s="15">
        <f t="shared" si="16"/>
        <v>1.7999999999999998</v>
      </c>
      <c r="J562" t="str">
        <f t="shared" si="17"/>
        <v>update evaluasi set tahun = 1, nilai_maks = 5, nilai_input=3, bobot = 3, nilai_akhir = 1.8, id_indikator = 'C020250229' where id_evaluasi = '20250014_C020250605';</v>
      </c>
    </row>
    <row r="563" spans="1:10" hidden="1" x14ac:dyDescent="0.35">
      <c r="A563" t="s">
        <v>679</v>
      </c>
      <c r="B563" t="s">
        <v>647</v>
      </c>
      <c r="C563" t="s">
        <v>84</v>
      </c>
      <c r="D563" t="s">
        <v>85</v>
      </c>
      <c r="E563" s="1">
        <v>1</v>
      </c>
      <c r="F563" s="1">
        <f>VLOOKUP(C563,m_indikator!$A$2:$F$30,5,TRUE)</f>
        <v>5</v>
      </c>
      <c r="G563" s="15">
        <v>3</v>
      </c>
      <c r="H563" s="1">
        <f>VLOOKUP(C563,m_indikator!$A$2:$F$30,6,TRUE)</f>
        <v>3</v>
      </c>
      <c r="I563" s="15">
        <f t="shared" si="16"/>
        <v>1.7999999999999998</v>
      </c>
      <c r="J563" t="str">
        <f t="shared" si="17"/>
        <v>update evaluasi set tahun = 1, nilai_maks = 5, nilai_input=3, bobot = 3, nilai_akhir = 1.8, id_indikator = 'C020250229' where id_evaluasi = '20250015_C020250605';</v>
      </c>
    </row>
    <row r="564" spans="1:10" hidden="1" x14ac:dyDescent="0.35">
      <c r="A564" t="s">
        <v>680</v>
      </c>
      <c r="B564" t="s">
        <v>647</v>
      </c>
      <c r="C564" t="s">
        <v>84</v>
      </c>
      <c r="D564" t="s">
        <v>85</v>
      </c>
      <c r="E564" s="1">
        <v>1</v>
      </c>
      <c r="F564" s="1">
        <f>VLOOKUP(C564,m_indikator!$A$2:$F$30,5,TRUE)</f>
        <v>5</v>
      </c>
      <c r="G564" s="15">
        <v>3</v>
      </c>
      <c r="H564" s="1">
        <f>VLOOKUP(C564,m_indikator!$A$2:$F$30,6,TRUE)</f>
        <v>3</v>
      </c>
      <c r="I564" s="15">
        <f t="shared" si="16"/>
        <v>1.7999999999999998</v>
      </c>
      <c r="J564" t="str">
        <f t="shared" si="17"/>
        <v>update evaluasi set tahun = 1, nilai_maks = 5, nilai_input=3, bobot = 3, nilai_akhir = 1.8, id_indikator = 'C020250229' where id_evaluasi = '20250016_C020250605';</v>
      </c>
    </row>
    <row r="565" spans="1:10" hidden="1" x14ac:dyDescent="0.35">
      <c r="A565" t="s">
        <v>681</v>
      </c>
      <c r="B565" t="s">
        <v>647</v>
      </c>
      <c r="C565" t="s">
        <v>84</v>
      </c>
      <c r="D565" t="s">
        <v>85</v>
      </c>
      <c r="E565" s="1">
        <v>1</v>
      </c>
      <c r="F565" s="1">
        <f>VLOOKUP(C565,m_indikator!$A$2:$F$30,5,TRUE)</f>
        <v>5</v>
      </c>
      <c r="G565" s="15">
        <v>3</v>
      </c>
      <c r="H565" s="1">
        <f>VLOOKUP(C565,m_indikator!$A$2:$F$30,6,TRUE)</f>
        <v>3</v>
      </c>
      <c r="I565" s="15">
        <f t="shared" si="16"/>
        <v>1.7999999999999998</v>
      </c>
      <c r="J565" t="str">
        <f t="shared" si="17"/>
        <v>update evaluasi set tahun = 1, nilai_maks = 5, nilai_input=3, bobot = 3, nilai_akhir = 1.8, id_indikator = 'C020250229' where id_evaluasi = '20250017_C020250605';</v>
      </c>
    </row>
    <row r="566" spans="1:10" hidden="1" x14ac:dyDescent="0.35">
      <c r="A566" t="s">
        <v>682</v>
      </c>
      <c r="B566" t="s">
        <v>647</v>
      </c>
      <c r="C566" t="s">
        <v>84</v>
      </c>
      <c r="D566" t="s">
        <v>85</v>
      </c>
      <c r="E566" s="1">
        <v>1</v>
      </c>
      <c r="F566" s="1">
        <f>VLOOKUP(C566,m_indikator!$A$2:$F$30,5,TRUE)</f>
        <v>5</v>
      </c>
      <c r="G566" s="15">
        <v>3</v>
      </c>
      <c r="H566" s="1">
        <f>VLOOKUP(C566,m_indikator!$A$2:$F$30,6,TRUE)</f>
        <v>3</v>
      </c>
      <c r="I566" s="15">
        <f t="shared" si="16"/>
        <v>1.7999999999999998</v>
      </c>
      <c r="J566" t="str">
        <f t="shared" si="17"/>
        <v>update evaluasi set tahun = 1, nilai_maks = 5, nilai_input=3, bobot = 3, nilai_akhir = 1.8, id_indikator = 'C020250229' where id_evaluasi = '20250018_C020250605';</v>
      </c>
    </row>
    <row r="567" spans="1:10" hidden="1" x14ac:dyDescent="0.35">
      <c r="A567" t="s">
        <v>683</v>
      </c>
      <c r="B567" t="s">
        <v>647</v>
      </c>
      <c r="C567" t="s">
        <v>84</v>
      </c>
      <c r="D567" t="s">
        <v>85</v>
      </c>
      <c r="E567" s="1">
        <v>1</v>
      </c>
      <c r="F567" s="1">
        <f>VLOOKUP(C567,m_indikator!$A$2:$F$30,5,TRUE)</f>
        <v>5</v>
      </c>
      <c r="G567" s="15">
        <v>3</v>
      </c>
      <c r="H567" s="1">
        <f>VLOOKUP(C567,m_indikator!$A$2:$F$30,6,TRUE)</f>
        <v>3</v>
      </c>
      <c r="I567" s="15">
        <f t="shared" si="16"/>
        <v>1.7999999999999998</v>
      </c>
      <c r="J567" t="str">
        <f t="shared" si="17"/>
        <v>update evaluasi set tahun = 1, nilai_maks = 5, nilai_input=3, bobot = 3, nilai_akhir = 1.8, id_indikator = 'C020250229' where id_evaluasi = '20250019_C020250605';</v>
      </c>
    </row>
    <row r="568" spans="1:10" hidden="1" x14ac:dyDescent="0.35">
      <c r="A568" t="s">
        <v>646</v>
      </c>
      <c r="B568" t="s">
        <v>647</v>
      </c>
      <c r="C568" t="s">
        <v>84</v>
      </c>
      <c r="D568" t="s">
        <v>85</v>
      </c>
      <c r="E568" s="1">
        <v>1</v>
      </c>
      <c r="F568" s="1">
        <f>VLOOKUP(C568,m_indikator!$A$2:$F$30,5,TRUE)</f>
        <v>5</v>
      </c>
      <c r="G568" s="15">
        <v>4</v>
      </c>
      <c r="H568" s="1">
        <f>VLOOKUP(C568,m_indikator!$A$2:$F$30,6,TRUE)</f>
        <v>3</v>
      </c>
      <c r="I568" s="15">
        <f t="shared" si="16"/>
        <v>2.4000000000000004</v>
      </c>
      <c r="J568" t="str">
        <f t="shared" si="17"/>
        <v>update evaluasi set tahun = 1, nilai_maks = 5, nilai_input=4, bobot = 3, nilai_akhir = 2.4, id_indikator = 'C020250229' where id_evaluasi = '20250020_C020250605';</v>
      </c>
    </row>
    <row r="569" spans="1:10" hidden="1" x14ac:dyDescent="0.35">
      <c r="A569" t="s">
        <v>648</v>
      </c>
      <c r="B569" t="s">
        <v>647</v>
      </c>
      <c r="C569" t="s">
        <v>84</v>
      </c>
      <c r="D569" t="s">
        <v>85</v>
      </c>
      <c r="E569" s="1">
        <v>1</v>
      </c>
      <c r="F569" s="1">
        <f>VLOOKUP(C569,m_indikator!$A$2:$F$30,5,TRUE)</f>
        <v>5</v>
      </c>
      <c r="G569" s="15">
        <v>5</v>
      </c>
      <c r="H569" s="1">
        <f>VLOOKUP(C569,m_indikator!$A$2:$F$30,6,TRUE)</f>
        <v>3</v>
      </c>
      <c r="I569" s="15">
        <f t="shared" si="16"/>
        <v>3</v>
      </c>
      <c r="J569" t="str">
        <f t="shared" si="17"/>
        <v>update evaluasi set tahun = 1, nilai_maks = 5, nilai_input=5, bobot = 3, nilai_akhir = 3, id_indikator = 'C020250229' where id_evaluasi = '20250021_C020250605';</v>
      </c>
    </row>
    <row r="570" spans="1:10" hidden="1" x14ac:dyDescent="0.35">
      <c r="A570" t="s">
        <v>649</v>
      </c>
      <c r="B570" t="s">
        <v>647</v>
      </c>
      <c r="C570" t="s">
        <v>84</v>
      </c>
      <c r="D570" t="s">
        <v>85</v>
      </c>
      <c r="E570" s="1">
        <v>1</v>
      </c>
      <c r="F570" s="1">
        <f>VLOOKUP(C570,m_indikator!$A$2:$F$30,5,TRUE)</f>
        <v>5</v>
      </c>
      <c r="G570" s="15">
        <v>3</v>
      </c>
      <c r="H570" s="1">
        <f>VLOOKUP(C570,m_indikator!$A$2:$F$30,6,TRUE)</f>
        <v>3</v>
      </c>
      <c r="I570" s="15">
        <f t="shared" si="16"/>
        <v>1.7999999999999998</v>
      </c>
      <c r="J570" t="str">
        <f t="shared" si="17"/>
        <v>update evaluasi set tahun = 1, nilai_maks = 5, nilai_input=3, bobot = 3, nilai_akhir = 1.8, id_indikator = 'C020250229' where id_evaluasi = '20250022_C020250605';</v>
      </c>
    </row>
    <row r="571" spans="1:10" hidden="1" x14ac:dyDescent="0.35">
      <c r="A571" t="s">
        <v>650</v>
      </c>
      <c r="B571" t="s">
        <v>647</v>
      </c>
      <c r="C571" t="s">
        <v>84</v>
      </c>
      <c r="D571" t="s">
        <v>85</v>
      </c>
      <c r="E571" s="1">
        <v>1</v>
      </c>
      <c r="F571" s="1">
        <f>VLOOKUP(C571,m_indikator!$A$2:$F$30,5,TRUE)</f>
        <v>5</v>
      </c>
      <c r="G571" s="15">
        <v>3</v>
      </c>
      <c r="H571" s="1">
        <f>VLOOKUP(C571,m_indikator!$A$2:$F$30,6,TRUE)</f>
        <v>3</v>
      </c>
      <c r="I571" s="15">
        <f t="shared" si="16"/>
        <v>1.7999999999999998</v>
      </c>
      <c r="J571" t="str">
        <f t="shared" si="17"/>
        <v>update evaluasi set tahun = 1, nilai_maks = 5, nilai_input=3, bobot = 3, nilai_akhir = 1.8, id_indikator = 'C020250229' where id_evaluasi = '20250023_C020250605';</v>
      </c>
    </row>
    <row r="572" spans="1:10" hidden="1" x14ac:dyDescent="0.35">
      <c r="A572" t="s">
        <v>651</v>
      </c>
      <c r="B572" t="s">
        <v>647</v>
      </c>
      <c r="C572" t="s">
        <v>84</v>
      </c>
      <c r="D572" t="s">
        <v>85</v>
      </c>
      <c r="E572" s="1">
        <v>1</v>
      </c>
      <c r="F572" s="1">
        <f>VLOOKUP(C572,m_indikator!$A$2:$F$30,5,TRUE)</f>
        <v>5</v>
      </c>
      <c r="G572" s="15">
        <v>4</v>
      </c>
      <c r="H572" s="1">
        <f>VLOOKUP(C572,m_indikator!$A$2:$F$30,6,TRUE)</f>
        <v>3</v>
      </c>
      <c r="I572" s="15">
        <f t="shared" si="16"/>
        <v>2.4000000000000004</v>
      </c>
      <c r="J572" t="str">
        <f t="shared" si="17"/>
        <v>update evaluasi set tahun = 1, nilai_maks = 5, nilai_input=4, bobot = 3, nilai_akhir = 2.4, id_indikator = 'C020250229' where id_evaluasi = '20250024_C020250605';</v>
      </c>
    </row>
    <row r="573" spans="1:10" hidden="1" x14ac:dyDescent="0.35">
      <c r="A573" t="s">
        <v>652</v>
      </c>
      <c r="B573" t="s">
        <v>647</v>
      </c>
      <c r="C573" t="s">
        <v>84</v>
      </c>
      <c r="D573" t="s">
        <v>85</v>
      </c>
      <c r="E573" s="1">
        <v>1</v>
      </c>
      <c r="F573" s="1">
        <f>VLOOKUP(C573,m_indikator!$A$2:$F$30,5,TRUE)</f>
        <v>5</v>
      </c>
      <c r="G573" s="15">
        <v>3</v>
      </c>
      <c r="H573" s="1">
        <f>VLOOKUP(C573,m_indikator!$A$2:$F$30,6,TRUE)</f>
        <v>3</v>
      </c>
      <c r="I573" s="15">
        <f t="shared" si="16"/>
        <v>1.7999999999999998</v>
      </c>
      <c r="J573" t="str">
        <f t="shared" si="17"/>
        <v>update evaluasi set tahun = 1, nilai_maks = 5, nilai_input=3, bobot = 3, nilai_akhir = 1.8, id_indikator = 'C020250229' where id_evaluasi = '20250025_C020250605';</v>
      </c>
    </row>
    <row r="574" spans="1:10" hidden="1" x14ac:dyDescent="0.35">
      <c r="A574" t="s">
        <v>653</v>
      </c>
      <c r="B574" t="s">
        <v>647</v>
      </c>
      <c r="C574" t="s">
        <v>84</v>
      </c>
      <c r="D574" t="s">
        <v>85</v>
      </c>
      <c r="E574" s="1">
        <v>1</v>
      </c>
      <c r="F574" s="1">
        <f>VLOOKUP(C574,m_indikator!$A$2:$F$30,5,TRUE)</f>
        <v>5</v>
      </c>
      <c r="G574" s="15">
        <v>3</v>
      </c>
      <c r="H574" s="1">
        <f>VLOOKUP(C574,m_indikator!$A$2:$F$30,6,TRUE)</f>
        <v>3</v>
      </c>
      <c r="I574" s="15">
        <f t="shared" si="16"/>
        <v>1.7999999999999998</v>
      </c>
      <c r="J574" t="str">
        <f t="shared" si="17"/>
        <v>update evaluasi set tahun = 1, nilai_maks = 5, nilai_input=3, bobot = 3, nilai_akhir = 1.8, id_indikator = 'C020250229' where id_evaluasi = '20250026_C020250605';</v>
      </c>
    </row>
    <row r="575" spans="1:10" hidden="1" x14ac:dyDescent="0.35">
      <c r="A575" t="s">
        <v>654</v>
      </c>
      <c r="B575" t="s">
        <v>647</v>
      </c>
      <c r="C575" t="s">
        <v>84</v>
      </c>
      <c r="D575" t="s">
        <v>85</v>
      </c>
      <c r="E575" s="1">
        <v>1</v>
      </c>
      <c r="F575" s="1">
        <f>VLOOKUP(C575,m_indikator!$A$2:$F$30,5,TRUE)</f>
        <v>5</v>
      </c>
      <c r="G575" s="15">
        <v>5</v>
      </c>
      <c r="H575" s="1">
        <f>VLOOKUP(C575,m_indikator!$A$2:$F$30,6,TRUE)</f>
        <v>3</v>
      </c>
      <c r="I575" s="15">
        <f t="shared" si="16"/>
        <v>3</v>
      </c>
      <c r="J575" t="str">
        <f t="shared" si="17"/>
        <v>update evaluasi set tahun = 1, nilai_maks = 5, nilai_input=5, bobot = 3, nilai_akhir = 3, id_indikator = 'C020250229' where id_evaluasi = '20250027_C020250605';</v>
      </c>
    </row>
    <row r="576" spans="1:10" hidden="1" x14ac:dyDescent="0.35">
      <c r="A576" t="s">
        <v>655</v>
      </c>
      <c r="B576" t="s">
        <v>647</v>
      </c>
      <c r="C576" t="s">
        <v>84</v>
      </c>
      <c r="D576" t="s">
        <v>85</v>
      </c>
      <c r="E576" s="1">
        <v>1</v>
      </c>
      <c r="F576" s="1">
        <f>VLOOKUP(C576,m_indikator!$A$2:$F$30,5,TRUE)</f>
        <v>5</v>
      </c>
      <c r="G576" s="15">
        <v>3</v>
      </c>
      <c r="H576" s="1">
        <f>VLOOKUP(C576,m_indikator!$A$2:$F$30,6,TRUE)</f>
        <v>3</v>
      </c>
      <c r="I576" s="15">
        <f t="shared" si="16"/>
        <v>1.7999999999999998</v>
      </c>
      <c r="J576" t="str">
        <f t="shared" si="17"/>
        <v>update evaluasi set tahun = 1, nilai_maks = 5, nilai_input=3, bobot = 3, nilai_akhir = 1.8, id_indikator = 'C020250229' where id_evaluasi = '20250028_C020250605';</v>
      </c>
    </row>
    <row r="577" spans="1:10" hidden="1" x14ac:dyDescent="0.35">
      <c r="A577" t="s">
        <v>656</v>
      </c>
      <c r="B577" t="s">
        <v>647</v>
      </c>
      <c r="C577" t="s">
        <v>84</v>
      </c>
      <c r="D577" t="s">
        <v>85</v>
      </c>
      <c r="E577" s="1">
        <v>1</v>
      </c>
      <c r="F577" s="1">
        <f>VLOOKUP(C577,m_indikator!$A$2:$F$30,5,TRUE)</f>
        <v>5</v>
      </c>
      <c r="G577" s="15">
        <v>3</v>
      </c>
      <c r="H577" s="1">
        <f>VLOOKUP(C577,m_indikator!$A$2:$F$30,6,TRUE)</f>
        <v>3</v>
      </c>
      <c r="I577" s="15">
        <f t="shared" si="16"/>
        <v>1.7999999999999998</v>
      </c>
      <c r="J577" t="str">
        <f t="shared" si="17"/>
        <v>update evaluasi set tahun = 1, nilai_maks = 5, nilai_input=3, bobot = 3, nilai_akhir = 1.8, id_indikator = 'C020250229' where id_evaluasi = '20250029_C020250605';</v>
      </c>
    </row>
    <row r="578" spans="1:10" hidden="1" x14ac:dyDescent="0.35">
      <c r="A578" t="s">
        <v>657</v>
      </c>
      <c r="B578" t="s">
        <v>647</v>
      </c>
      <c r="C578" t="s">
        <v>84</v>
      </c>
      <c r="D578" t="s">
        <v>85</v>
      </c>
      <c r="E578" s="1">
        <v>1</v>
      </c>
      <c r="F578" s="1">
        <f>VLOOKUP(C578,m_indikator!$A$2:$F$30,5,TRUE)</f>
        <v>5</v>
      </c>
      <c r="G578" s="15">
        <v>1</v>
      </c>
      <c r="H578" s="1">
        <f>VLOOKUP(C578,m_indikator!$A$2:$F$30,6,TRUE)</f>
        <v>3</v>
      </c>
      <c r="I578" s="15">
        <f t="shared" ref="I578:I612" si="18">(G578/F578)*H578</f>
        <v>0.60000000000000009</v>
      </c>
      <c r="J578" t="str">
        <f t="shared" ref="J578:J612" si="19">"update evaluasi set tahun = "&amp;E578&amp;", nilai_maks = "&amp;F578&amp;", nilai_input="&amp;G578&amp;", bobot = "&amp;H578&amp;", nilai_akhir = "&amp;I578&amp;", id_indikator = '"&amp;C578&amp;"' where id_evaluasi = '"&amp;A578&amp;"';"</f>
        <v>update evaluasi set tahun = 1, nilai_maks = 5, nilai_input=1, bobot = 3, nilai_akhir = 0.6, id_indikator = 'C020250229' where id_evaluasi = '20250030_C020250605';</v>
      </c>
    </row>
    <row r="579" spans="1:10" hidden="1" x14ac:dyDescent="0.35">
      <c r="A579" t="s">
        <v>658</v>
      </c>
      <c r="B579" t="s">
        <v>647</v>
      </c>
      <c r="C579" t="s">
        <v>84</v>
      </c>
      <c r="D579" t="s">
        <v>85</v>
      </c>
      <c r="E579" s="1">
        <v>1</v>
      </c>
      <c r="F579" s="1">
        <f>VLOOKUP(C579,m_indikator!$A$2:$F$30,5,TRUE)</f>
        <v>5</v>
      </c>
      <c r="G579" s="15">
        <v>5</v>
      </c>
      <c r="H579" s="1">
        <f>VLOOKUP(C579,m_indikator!$A$2:$F$30,6,TRUE)</f>
        <v>3</v>
      </c>
      <c r="I579" s="15">
        <f t="shared" si="18"/>
        <v>3</v>
      </c>
      <c r="J579" t="str">
        <f t="shared" si="19"/>
        <v>update evaluasi set tahun = 1, nilai_maks = 5, nilai_input=5, bobot = 3, nilai_akhir = 3, id_indikator = 'C020250229' where id_evaluasi = '20250031_C020250605';</v>
      </c>
    </row>
    <row r="580" spans="1:10" hidden="1" x14ac:dyDescent="0.35">
      <c r="A580" t="s">
        <v>659</v>
      </c>
      <c r="B580" t="s">
        <v>647</v>
      </c>
      <c r="C580" t="s">
        <v>84</v>
      </c>
      <c r="D580" t="s">
        <v>85</v>
      </c>
      <c r="E580" s="1">
        <v>1</v>
      </c>
      <c r="F580" s="1">
        <f>VLOOKUP(C580,m_indikator!$A$2:$F$30,5,TRUE)</f>
        <v>5</v>
      </c>
      <c r="G580" s="15">
        <v>3</v>
      </c>
      <c r="H580" s="1">
        <f>VLOOKUP(C580,m_indikator!$A$2:$F$30,6,TRUE)</f>
        <v>3</v>
      </c>
      <c r="I580" s="15">
        <f t="shared" si="18"/>
        <v>1.7999999999999998</v>
      </c>
      <c r="J580" t="str">
        <f t="shared" si="19"/>
        <v>update evaluasi set tahun = 1, nilai_maks = 5, nilai_input=3, bobot = 3, nilai_akhir = 1.8, id_indikator = 'C020250229' where id_evaluasi = '20250032_C020250605';</v>
      </c>
    </row>
    <row r="581" spans="1:10" hidden="1" x14ac:dyDescent="0.35">
      <c r="A581" t="s">
        <v>660</v>
      </c>
      <c r="B581" t="s">
        <v>647</v>
      </c>
      <c r="C581" t="s">
        <v>84</v>
      </c>
      <c r="D581" t="s">
        <v>85</v>
      </c>
      <c r="E581" s="1">
        <v>1</v>
      </c>
      <c r="F581" s="1">
        <f>VLOOKUP(C581,m_indikator!$A$2:$F$30,5,TRUE)</f>
        <v>5</v>
      </c>
      <c r="G581" s="15">
        <v>4</v>
      </c>
      <c r="H581" s="1">
        <f>VLOOKUP(C581,m_indikator!$A$2:$F$30,6,TRUE)</f>
        <v>3</v>
      </c>
      <c r="I581" s="15">
        <f t="shared" si="18"/>
        <v>2.4000000000000004</v>
      </c>
      <c r="J581" t="str">
        <f t="shared" si="19"/>
        <v>update evaluasi set tahun = 1, nilai_maks = 5, nilai_input=4, bobot = 3, nilai_akhir = 2.4, id_indikator = 'C020250229' where id_evaluasi = '20250033_C020250605';</v>
      </c>
    </row>
    <row r="582" spans="1:10" hidden="1" x14ac:dyDescent="0.35">
      <c r="A582" t="s">
        <v>661</v>
      </c>
      <c r="B582" t="s">
        <v>647</v>
      </c>
      <c r="C582" t="s">
        <v>84</v>
      </c>
      <c r="D582" t="s">
        <v>85</v>
      </c>
      <c r="E582" s="1">
        <v>1</v>
      </c>
      <c r="F582" s="1">
        <f>VLOOKUP(C582,m_indikator!$A$2:$F$30,5,TRUE)</f>
        <v>5</v>
      </c>
      <c r="G582" s="15">
        <v>4</v>
      </c>
      <c r="H582" s="1">
        <f>VLOOKUP(C582,m_indikator!$A$2:$F$30,6,TRUE)</f>
        <v>3</v>
      </c>
      <c r="I582" s="15">
        <f t="shared" si="18"/>
        <v>2.4000000000000004</v>
      </c>
      <c r="J582" t="str">
        <f t="shared" si="19"/>
        <v>update evaluasi set tahun = 1, nilai_maks = 5, nilai_input=4, bobot = 3, nilai_akhir = 2.4, id_indikator = 'C020250229' where id_evaluasi = '20250034_C020250605';</v>
      </c>
    </row>
    <row r="583" spans="1:10" hidden="1" x14ac:dyDescent="0.35">
      <c r="A583" t="s">
        <v>662</v>
      </c>
      <c r="B583" t="s">
        <v>647</v>
      </c>
      <c r="C583" t="s">
        <v>84</v>
      </c>
      <c r="D583" t="s">
        <v>85</v>
      </c>
      <c r="E583" s="1">
        <v>1</v>
      </c>
      <c r="F583" s="1">
        <f>VLOOKUP(C583,m_indikator!$A$2:$F$30,5,TRUE)</f>
        <v>5</v>
      </c>
      <c r="G583" s="15">
        <v>4</v>
      </c>
      <c r="H583" s="1">
        <f>VLOOKUP(C583,m_indikator!$A$2:$F$30,6,TRUE)</f>
        <v>3</v>
      </c>
      <c r="I583" s="15">
        <f t="shared" si="18"/>
        <v>2.4000000000000004</v>
      </c>
      <c r="J583" t="str">
        <f t="shared" si="19"/>
        <v>update evaluasi set tahun = 1, nilai_maks = 5, nilai_input=4, bobot = 3, nilai_akhir = 2.4, id_indikator = 'C020250229' where id_evaluasi = '20250035_C020250605';</v>
      </c>
    </row>
    <row r="584" spans="1:10" hidden="1" x14ac:dyDescent="0.35">
      <c r="A584" t="s">
        <v>663</v>
      </c>
      <c r="B584" t="s">
        <v>647</v>
      </c>
      <c r="C584" t="s">
        <v>84</v>
      </c>
      <c r="D584" t="s">
        <v>85</v>
      </c>
      <c r="E584" s="1">
        <v>1</v>
      </c>
      <c r="F584" s="1">
        <f>VLOOKUP(C584,m_indikator!$A$2:$F$30,5,TRUE)</f>
        <v>5</v>
      </c>
      <c r="G584" s="15">
        <v>4</v>
      </c>
      <c r="H584" s="1">
        <f>VLOOKUP(C584,m_indikator!$A$2:$F$30,6,TRUE)</f>
        <v>3</v>
      </c>
      <c r="I584" s="15">
        <f t="shared" si="18"/>
        <v>2.4000000000000004</v>
      </c>
      <c r="J584" t="str">
        <f t="shared" si="19"/>
        <v>update evaluasi set tahun = 1, nilai_maks = 5, nilai_input=4, bobot = 3, nilai_akhir = 2.4, id_indikator = 'C020250229' where id_evaluasi = '20250036_C020250605';</v>
      </c>
    </row>
    <row r="585" spans="1:10" hidden="1" x14ac:dyDescent="0.35">
      <c r="A585" t="s">
        <v>664</v>
      </c>
      <c r="B585" t="s">
        <v>647</v>
      </c>
      <c r="C585" t="s">
        <v>84</v>
      </c>
      <c r="D585" t="s">
        <v>85</v>
      </c>
      <c r="E585" s="1">
        <v>1</v>
      </c>
      <c r="F585" s="1">
        <f>VLOOKUP(C585,m_indikator!$A$2:$F$30,5,TRUE)</f>
        <v>5</v>
      </c>
      <c r="G585" s="15">
        <v>5</v>
      </c>
      <c r="H585" s="1">
        <f>VLOOKUP(C585,m_indikator!$A$2:$F$30,6,TRUE)</f>
        <v>3</v>
      </c>
      <c r="I585" s="15">
        <f t="shared" si="18"/>
        <v>3</v>
      </c>
      <c r="J585" t="str">
        <f t="shared" si="19"/>
        <v>update evaluasi set tahun = 1, nilai_maks = 5, nilai_input=5, bobot = 3, nilai_akhir = 3, id_indikator = 'C020250229' where id_evaluasi = '20250037_C020250605';</v>
      </c>
    </row>
    <row r="586" spans="1:10" hidden="1" x14ac:dyDescent="0.35">
      <c r="A586" t="s">
        <v>684</v>
      </c>
      <c r="B586" t="s">
        <v>647</v>
      </c>
      <c r="C586" t="s">
        <v>84</v>
      </c>
      <c r="D586" t="s">
        <v>85</v>
      </c>
      <c r="E586" s="1">
        <v>1</v>
      </c>
      <c r="F586" s="1">
        <f>VLOOKUP(C586,m_indikator!$A$2:$F$30,5,TRUE)</f>
        <v>5</v>
      </c>
      <c r="G586" s="15">
        <v>5</v>
      </c>
      <c r="H586" s="1">
        <f>VLOOKUP(C586,m_indikator!$A$2:$F$30,6,TRUE)</f>
        <v>3</v>
      </c>
      <c r="I586" s="15">
        <f t="shared" si="18"/>
        <v>3</v>
      </c>
      <c r="J586" t="str">
        <f t="shared" si="19"/>
        <v>update evaluasi set tahun = 1, nilai_maks = 5, nilai_input=5, bobot = 3, nilai_akhir = 3, id_indikator = 'C020250229' where id_evaluasi = '20250038_C020250605';</v>
      </c>
    </row>
    <row r="587" spans="1:10" hidden="1" x14ac:dyDescent="0.35">
      <c r="A587" t="s">
        <v>685</v>
      </c>
      <c r="B587" t="s">
        <v>647</v>
      </c>
      <c r="C587" t="s">
        <v>84</v>
      </c>
      <c r="D587" t="s">
        <v>85</v>
      </c>
      <c r="E587" s="1">
        <v>1</v>
      </c>
      <c r="F587" s="1">
        <f>VLOOKUP(C587,m_indikator!$A$2:$F$30,5,TRUE)</f>
        <v>5</v>
      </c>
      <c r="G587" s="15">
        <v>3</v>
      </c>
      <c r="H587" s="1">
        <f>VLOOKUP(C587,m_indikator!$A$2:$F$30,6,TRUE)</f>
        <v>3</v>
      </c>
      <c r="I587" s="15">
        <f t="shared" si="18"/>
        <v>1.7999999999999998</v>
      </c>
      <c r="J587" t="str">
        <f t="shared" si="19"/>
        <v>update evaluasi set tahun = 1, nilai_maks = 5, nilai_input=3, bobot = 3, nilai_akhir = 1.8, id_indikator = 'C020250229' where id_evaluasi = '20250039_C020250605';</v>
      </c>
    </row>
    <row r="588" spans="1:10" hidden="1" x14ac:dyDescent="0.35">
      <c r="A588" t="s">
        <v>686</v>
      </c>
      <c r="B588" t="s">
        <v>647</v>
      </c>
      <c r="C588" t="s">
        <v>84</v>
      </c>
      <c r="D588" t="s">
        <v>85</v>
      </c>
      <c r="E588" s="1">
        <v>1</v>
      </c>
      <c r="F588" s="1">
        <f>VLOOKUP(C588,m_indikator!$A$2:$F$30,5,TRUE)</f>
        <v>5</v>
      </c>
      <c r="G588" s="15">
        <v>3</v>
      </c>
      <c r="H588" s="1">
        <f>VLOOKUP(C588,m_indikator!$A$2:$F$30,6,TRUE)</f>
        <v>3</v>
      </c>
      <c r="I588" s="15">
        <f t="shared" si="18"/>
        <v>1.7999999999999998</v>
      </c>
      <c r="J588" t="str">
        <f t="shared" si="19"/>
        <v>update evaluasi set tahun = 1, nilai_maks = 5, nilai_input=3, bobot = 3, nilai_akhir = 1.8, id_indikator = 'C020250229' where id_evaluasi = '20250040_C020250605';</v>
      </c>
    </row>
    <row r="589" spans="1:10" hidden="1" x14ac:dyDescent="0.35">
      <c r="A589" t="s">
        <v>687</v>
      </c>
      <c r="B589" t="s">
        <v>647</v>
      </c>
      <c r="C589" t="s">
        <v>84</v>
      </c>
      <c r="D589" t="s">
        <v>85</v>
      </c>
      <c r="E589" s="1">
        <v>1</v>
      </c>
      <c r="F589" s="1">
        <f>VLOOKUP(C589,m_indikator!$A$2:$F$30,5,TRUE)</f>
        <v>5</v>
      </c>
      <c r="G589" s="15">
        <v>3</v>
      </c>
      <c r="H589" s="1">
        <f>VLOOKUP(C589,m_indikator!$A$2:$F$30,6,TRUE)</f>
        <v>3</v>
      </c>
      <c r="I589" s="15">
        <f t="shared" si="18"/>
        <v>1.7999999999999998</v>
      </c>
      <c r="J589" t="str">
        <f t="shared" si="19"/>
        <v>update evaluasi set tahun = 1, nilai_maks = 5, nilai_input=3, bobot = 3, nilai_akhir = 1.8, id_indikator = 'C020250229' where id_evaluasi = '20250041_C020250605';</v>
      </c>
    </row>
    <row r="590" spans="1:10" hidden="1" x14ac:dyDescent="0.35">
      <c r="A590" t="s">
        <v>688</v>
      </c>
      <c r="B590" t="s">
        <v>647</v>
      </c>
      <c r="C590" t="s">
        <v>84</v>
      </c>
      <c r="D590" t="s">
        <v>85</v>
      </c>
      <c r="E590" s="1">
        <v>1</v>
      </c>
      <c r="F590" s="1">
        <f>VLOOKUP(C590,m_indikator!$A$2:$F$30,5,TRUE)</f>
        <v>5</v>
      </c>
      <c r="G590" s="15">
        <v>4</v>
      </c>
      <c r="H590" s="1">
        <f>VLOOKUP(C590,m_indikator!$A$2:$F$30,6,TRUE)</f>
        <v>3</v>
      </c>
      <c r="I590" s="15">
        <f t="shared" si="18"/>
        <v>2.4000000000000004</v>
      </c>
      <c r="J590" t="str">
        <f t="shared" si="19"/>
        <v>update evaluasi set tahun = 1, nilai_maks = 5, nilai_input=4, bobot = 3, nilai_akhir = 2.4, id_indikator = 'C020250229' where id_evaluasi = '20250042_C020250605';</v>
      </c>
    </row>
    <row r="591" spans="1:10" hidden="1" x14ac:dyDescent="0.35">
      <c r="A591" t="s">
        <v>689</v>
      </c>
      <c r="B591" t="s">
        <v>647</v>
      </c>
      <c r="C591" t="s">
        <v>84</v>
      </c>
      <c r="D591" t="s">
        <v>85</v>
      </c>
      <c r="E591" s="1">
        <v>1</v>
      </c>
      <c r="F591" s="1">
        <f>VLOOKUP(C591,m_indikator!$A$2:$F$30,5,TRUE)</f>
        <v>5</v>
      </c>
      <c r="G591" s="15">
        <v>4</v>
      </c>
      <c r="H591" s="1">
        <f>VLOOKUP(C591,m_indikator!$A$2:$F$30,6,TRUE)</f>
        <v>3</v>
      </c>
      <c r="I591" s="15">
        <f t="shared" si="18"/>
        <v>2.4000000000000004</v>
      </c>
      <c r="J591" t="str">
        <f t="shared" si="19"/>
        <v>update evaluasi set tahun = 1, nilai_maks = 5, nilai_input=4, bobot = 3, nilai_akhir = 2.4, id_indikator = 'C020250229' where id_evaluasi = '20250043_C020250605';</v>
      </c>
    </row>
    <row r="592" spans="1:10" hidden="1" x14ac:dyDescent="0.35">
      <c r="A592" t="s">
        <v>690</v>
      </c>
      <c r="B592" t="s">
        <v>647</v>
      </c>
      <c r="C592" t="s">
        <v>84</v>
      </c>
      <c r="D592" t="s">
        <v>85</v>
      </c>
      <c r="E592" s="1">
        <v>1</v>
      </c>
      <c r="F592" s="1">
        <f>VLOOKUP(C592,m_indikator!$A$2:$F$30,5,TRUE)</f>
        <v>5</v>
      </c>
      <c r="G592" s="15">
        <v>3</v>
      </c>
      <c r="H592" s="1">
        <f>VLOOKUP(C592,m_indikator!$A$2:$F$30,6,TRUE)</f>
        <v>3</v>
      </c>
      <c r="I592" s="15">
        <f t="shared" si="18"/>
        <v>1.7999999999999998</v>
      </c>
      <c r="J592" t="str">
        <f t="shared" si="19"/>
        <v>update evaluasi set tahun = 1, nilai_maks = 5, nilai_input=3, bobot = 3, nilai_akhir = 1.8, id_indikator = 'C020250229' where id_evaluasi = '20250044_C020250605';</v>
      </c>
    </row>
    <row r="593" spans="1:10" hidden="1" x14ac:dyDescent="0.35">
      <c r="A593" t="s">
        <v>691</v>
      </c>
      <c r="B593" t="s">
        <v>647</v>
      </c>
      <c r="C593" t="s">
        <v>84</v>
      </c>
      <c r="D593" t="s">
        <v>85</v>
      </c>
      <c r="E593" s="1">
        <v>1</v>
      </c>
      <c r="F593" s="1">
        <f>VLOOKUP(C593,m_indikator!$A$2:$F$30,5,TRUE)</f>
        <v>5</v>
      </c>
      <c r="G593" s="15">
        <v>1</v>
      </c>
      <c r="H593" s="1">
        <f>VLOOKUP(C593,m_indikator!$A$2:$F$30,6,TRUE)</f>
        <v>3</v>
      </c>
      <c r="I593" s="15">
        <f t="shared" si="18"/>
        <v>0.60000000000000009</v>
      </c>
      <c r="J593" t="str">
        <f t="shared" si="19"/>
        <v>update evaluasi set tahun = 1, nilai_maks = 5, nilai_input=1, bobot = 3, nilai_akhir = 0.6, id_indikator = 'C020250229' where id_evaluasi = '20250045_C020250605';</v>
      </c>
    </row>
    <row r="594" spans="1:10" hidden="1" x14ac:dyDescent="0.35">
      <c r="A594" t="s">
        <v>692</v>
      </c>
      <c r="B594" t="s">
        <v>647</v>
      </c>
      <c r="C594" t="s">
        <v>84</v>
      </c>
      <c r="D594" t="s">
        <v>85</v>
      </c>
      <c r="E594" s="1">
        <v>1</v>
      </c>
      <c r="F594" s="1">
        <f>VLOOKUP(C594,m_indikator!$A$2:$F$30,5,TRUE)</f>
        <v>5</v>
      </c>
      <c r="G594" s="15">
        <v>4</v>
      </c>
      <c r="H594" s="1">
        <f>VLOOKUP(C594,m_indikator!$A$2:$F$30,6,TRUE)</f>
        <v>3</v>
      </c>
      <c r="I594" s="15">
        <f t="shared" si="18"/>
        <v>2.4000000000000004</v>
      </c>
      <c r="J594" t="str">
        <f t="shared" si="19"/>
        <v>update evaluasi set tahun = 1, nilai_maks = 5, nilai_input=4, bobot = 3, nilai_akhir = 2.4, id_indikator = 'C020250229' where id_evaluasi = '20250046_C020250605';</v>
      </c>
    </row>
    <row r="595" spans="1:10" hidden="1" x14ac:dyDescent="0.35">
      <c r="A595" t="s">
        <v>693</v>
      </c>
      <c r="B595" t="s">
        <v>647</v>
      </c>
      <c r="C595" t="s">
        <v>84</v>
      </c>
      <c r="D595" t="s">
        <v>85</v>
      </c>
      <c r="E595" s="1">
        <v>1</v>
      </c>
      <c r="F595" s="1">
        <f>VLOOKUP(C595,m_indikator!$A$2:$F$30,5,TRUE)</f>
        <v>5</v>
      </c>
      <c r="G595" s="15">
        <v>3</v>
      </c>
      <c r="H595" s="1">
        <f>VLOOKUP(C595,m_indikator!$A$2:$F$30,6,TRUE)</f>
        <v>3</v>
      </c>
      <c r="I595" s="15">
        <f t="shared" si="18"/>
        <v>1.7999999999999998</v>
      </c>
      <c r="J595" t="str">
        <f t="shared" si="19"/>
        <v>update evaluasi set tahun = 1, nilai_maks = 5, nilai_input=3, bobot = 3, nilai_akhir = 1.8, id_indikator = 'C020250229' where id_evaluasi = '20250047_C020250605';</v>
      </c>
    </row>
    <row r="596" spans="1:10" hidden="1" x14ac:dyDescent="0.35">
      <c r="A596" t="s">
        <v>694</v>
      </c>
      <c r="B596" t="s">
        <v>647</v>
      </c>
      <c r="C596" t="s">
        <v>84</v>
      </c>
      <c r="D596" t="s">
        <v>85</v>
      </c>
      <c r="E596" s="1">
        <v>1</v>
      </c>
      <c r="F596" s="1">
        <f>VLOOKUP(C596,m_indikator!$A$2:$F$30,5,TRUE)</f>
        <v>5</v>
      </c>
      <c r="G596" s="15">
        <v>3</v>
      </c>
      <c r="H596" s="1">
        <f>VLOOKUP(C596,m_indikator!$A$2:$F$30,6,TRUE)</f>
        <v>3</v>
      </c>
      <c r="I596" s="15">
        <f t="shared" si="18"/>
        <v>1.7999999999999998</v>
      </c>
      <c r="J596" t="str">
        <f t="shared" si="19"/>
        <v>update evaluasi set tahun = 1, nilai_maks = 5, nilai_input=3, bobot = 3, nilai_akhir = 1.8, id_indikator = 'C020250229' where id_evaluasi = '20250048_C020250605';</v>
      </c>
    </row>
    <row r="597" spans="1:10" hidden="1" x14ac:dyDescent="0.35">
      <c r="A597" t="s">
        <v>695</v>
      </c>
      <c r="B597" t="s">
        <v>647</v>
      </c>
      <c r="C597" t="s">
        <v>84</v>
      </c>
      <c r="D597" t="s">
        <v>85</v>
      </c>
      <c r="E597" s="1">
        <v>1</v>
      </c>
      <c r="F597" s="1">
        <f>VLOOKUP(C597,m_indikator!$A$2:$F$30,5,TRUE)</f>
        <v>5</v>
      </c>
      <c r="G597" s="15">
        <v>1</v>
      </c>
      <c r="H597" s="1">
        <f>VLOOKUP(C597,m_indikator!$A$2:$F$30,6,TRUE)</f>
        <v>3</v>
      </c>
      <c r="I597" s="15">
        <f t="shared" si="18"/>
        <v>0.60000000000000009</v>
      </c>
      <c r="J597" t="str">
        <f t="shared" si="19"/>
        <v>update evaluasi set tahun = 1, nilai_maks = 5, nilai_input=1, bobot = 3, nilai_akhir = 0.6, id_indikator = 'C020250229' where id_evaluasi = '20250049_C020250605';</v>
      </c>
    </row>
    <row r="598" spans="1:10" hidden="1" x14ac:dyDescent="0.35">
      <c r="A598" t="s">
        <v>696</v>
      </c>
      <c r="B598" t="s">
        <v>647</v>
      </c>
      <c r="C598" t="s">
        <v>84</v>
      </c>
      <c r="D598" t="s">
        <v>85</v>
      </c>
      <c r="E598" s="1">
        <v>1</v>
      </c>
      <c r="F598" s="1">
        <f>VLOOKUP(C598,m_indikator!$A$2:$F$30,5,TRUE)</f>
        <v>5</v>
      </c>
      <c r="G598" s="15">
        <v>1</v>
      </c>
      <c r="H598" s="1">
        <f>VLOOKUP(C598,m_indikator!$A$2:$F$30,6,TRUE)</f>
        <v>3</v>
      </c>
      <c r="I598" s="15">
        <f t="shared" si="18"/>
        <v>0.60000000000000009</v>
      </c>
      <c r="J598" t="str">
        <f t="shared" si="19"/>
        <v>update evaluasi set tahun = 1, nilai_maks = 5, nilai_input=1, bobot = 3, nilai_akhir = 0.6, id_indikator = 'C020250229' where id_evaluasi = '20250050_C020250605';</v>
      </c>
    </row>
    <row r="599" spans="1:10" hidden="1" x14ac:dyDescent="0.35">
      <c r="A599" t="s">
        <v>697</v>
      </c>
      <c r="B599" t="s">
        <v>647</v>
      </c>
      <c r="C599" t="s">
        <v>84</v>
      </c>
      <c r="D599" t="s">
        <v>85</v>
      </c>
      <c r="E599" s="1">
        <v>1</v>
      </c>
      <c r="F599" s="1">
        <f>VLOOKUP(C599,m_indikator!$A$2:$F$30,5,TRUE)</f>
        <v>5</v>
      </c>
      <c r="G599" s="15">
        <v>4</v>
      </c>
      <c r="H599" s="1">
        <f>VLOOKUP(C599,m_indikator!$A$2:$F$30,6,TRUE)</f>
        <v>3</v>
      </c>
      <c r="I599" s="15">
        <f t="shared" si="18"/>
        <v>2.4000000000000004</v>
      </c>
      <c r="J599" t="str">
        <f t="shared" si="19"/>
        <v>update evaluasi set tahun = 1, nilai_maks = 5, nilai_input=4, bobot = 3, nilai_akhir = 2.4, id_indikator = 'C020250229' where id_evaluasi = '20250051_C020250605';</v>
      </c>
    </row>
    <row r="600" spans="1:10" hidden="1" x14ac:dyDescent="0.35">
      <c r="A600" t="s">
        <v>698</v>
      </c>
      <c r="B600" t="s">
        <v>647</v>
      </c>
      <c r="C600" t="s">
        <v>84</v>
      </c>
      <c r="D600" t="s">
        <v>85</v>
      </c>
      <c r="E600" s="1">
        <v>1</v>
      </c>
      <c r="F600" s="1">
        <f>VLOOKUP(C600,m_indikator!$A$2:$F$30,5,TRUE)</f>
        <v>5</v>
      </c>
      <c r="G600" s="15">
        <v>1</v>
      </c>
      <c r="H600" s="1">
        <f>VLOOKUP(C600,m_indikator!$A$2:$F$30,6,TRUE)</f>
        <v>3</v>
      </c>
      <c r="I600" s="15">
        <f t="shared" si="18"/>
        <v>0.60000000000000009</v>
      </c>
      <c r="J600" t="str">
        <f t="shared" si="19"/>
        <v>update evaluasi set tahun = 1, nilai_maks = 5, nilai_input=1, bobot = 3, nilai_akhir = 0.6, id_indikator = 'C020250229' where id_evaluasi = '20250052_C020250605';</v>
      </c>
    </row>
    <row r="601" spans="1:10" hidden="1" x14ac:dyDescent="0.35">
      <c r="A601" t="s">
        <v>699</v>
      </c>
      <c r="B601" t="s">
        <v>647</v>
      </c>
      <c r="C601" t="s">
        <v>84</v>
      </c>
      <c r="D601" t="s">
        <v>85</v>
      </c>
      <c r="E601" s="1">
        <v>1</v>
      </c>
      <c r="F601" s="1">
        <f>VLOOKUP(C601,m_indikator!$A$2:$F$30,5,TRUE)</f>
        <v>5</v>
      </c>
      <c r="G601" s="15">
        <v>3</v>
      </c>
      <c r="H601" s="1">
        <f>VLOOKUP(C601,m_indikator!$A$2:$F$30,6,TRUE)</f>
        <v>3</v>
      </c>
      <c r="I601" s="15">
        <f t="shared" si="18"/>
        <v>1.7999999999999998</v>
      </c>
      <c r="J601" t="str">
        <f t="shared" si="19"/>
        <v>update evaluasi set tahun = 1, nilai_maks = 5, nilai_input=3, bobot = 3, nilai_akhir = 1.8, id_indikator = 'C020250229' where id_evaluasi = '20250053_C020250605';</v>
      </c>
    </row>
    <row r="602" spans="1:10" hidden="1" x14ac:dyDescent="0.35">
      <c r="A602" t="s">
        <v>700</v>
      </c>
      <c r="B602" t="s">
        <v>647</v>
      </c>
      <c r="C602" t="s">
        <v>84</v>
      </c>
      <c r="D602" t="s">
        <v>85</v>
      </c>
      <c r="E602" s="1">
        <v>1</v>
      </c>
      <c r="F602" s="1">
        <f>VLOOKUP(C602,m_indikator!$A$2:$F$30,5,TRUE)</f>
        <v>5</v>
      </c>
      <c r="G602" s="15">
        <v>4</v>
      </c>
      <c r="H602" s="1">
        <f>VLOOKUP(C602,m_indikator!$A$2:$F$30,6,TRUE)</f>
        <v>3</v>
      </c>
      <c r="I602" s="15">
        <f t="shared" si="18"/>
        <v>2.4000000000000004</v>
      </c>
      <c r="J602" t="str">
        <f t="shared" si="19"/>
        <v>update evaluasi set tahun = 1, nilai_maks = 5, nilai_input=4, bobot = 3, nilai_akhir = 2.4, id_indikator = 'C020250229' where id_evaluasi = '20250054_C020250605';</v>
      </c>
    </row>
    <row r="603" spans="1:10" hidden="1" x14ac:dyDescent="0.35">
      <c r="A603" t="s">
        <v>701</v>
      </c>
      <c r="B603" t="s">
        <v>647</v>
      </c>
      <c r="C603" t="s">
        <v>84</v>
      </c>
      <c r="D603" t="s">
        <v>85</v>
      </c>
      <c r="E603" s="1">
        <v>1</v>
      </c>
      <c r="F603" s="1">
        <f>VLOOKUP(C603,m_indikator!$A$2:$F$30,5,TRUE)</f>
        <v>5</v>
      </c>
      <c r="G603" s="15">
        <v>3</v>
      </c>
      <c r="H603" s="1">
        <f>VLOOKUP(C603,m_indikator!$A$2:$F$30,6,TRUE)</f>
        <v>3</v>
      </c>
      <c r="I603" s="15">
        <f t="shared" si="18"/>
        <v>1.7999999999999998</v>
      </c>
      <c r="J603" t="str">
        <f t="shared" si="19"/>
        <v>update evaluasi set tahun = 1, nilai_maks = 5, nilai_input=3, bobot = 3, nilai_akhir = 1.8, id_indikator = 'C020250229' where id_evaluasi = '20250055_C020250605';</v>
      </c>
    </row>
    <row r="604" spans="1:10" hidden="1" x14ac:dyDescent="0.35">
      <c r="A604" t="s">
        <v>702</v>
      </c>
      <c r="B604" t="s">
        <v>647</v>
      </c>
      <c r="C604" t="s">
        <v>84</v>
      </c>
      <c r="D604" t="s">
        <v>85</v>
      </c>
      <c r="E604" s="1">
        <v>1</v>
      </c>
      <c r="F604" s="1">
        <f>VLOOKUP(C604,m_indikator!$A$2:$F$30,5,TRUE)</f>
        <v>5</v>
      </c>
      <c r="G604" s="15">
        <v>3</v>
      </c>
      <c r="H604" s="1">
        <f>VLOOKUP(C604,m_indikator!$A$2:$F$30,6,TRUE)</f>
        <v>3</v>
      </c>
      <c r="I604" s="15">
        <f t="shared" si="18"/>
        <v>1.7999999999999998</v>
      </c>
      <c r="J604" t="str">
        <f t="shared" si="19"/>
        <v>update evaluasi set tahun = 1, nilai_maks = 5, nilai_input=3, bobot = 3, nilai_akhir = 1.8, id_indikator = 'C020250229' where id_evaluasi = '20250095_C020250605';</v>
      </c>
    </row>
    <row r="605" spans="1:10" hidden="1" x14ac:dyDescent="0.35">
      <c r="A605" t="s">
        <v>703</v>
      </c>
      <c r="B605" t="s">
        <v>647</v>
      </c>
      <c r="C605" t="s">
        <v>84</v>
      </c>
      <c r="D605" t="s">
        <v>85</v>
      </c>
      <c r="E605" s="1">
        <v>1</v>
      </c>
      <c r="F605" s="1">
        <f>VLOOKUP(C605,m_indikator!$A$2:$F$30,5,TRUE)</f>
        <v>5</v>
      </c>
      <c r="G605" s="15">
        <v>3</v>
      </c>
      <c r="H605" s="1">
        <f>VLOOKUP(C605,m_indikator!$A$2:$F$30,6,TRUE)</f>
        <v>3</v>
      </c>
      <c r="I605" s="15">
        <f t="shared" si="18"/>
        <v>1.7999999999999998</v>
      </c>
      <c r="J605" t="str">
        <f t="shared" si="19"/>
        <v>update evaluasi set tahun = 1, nilai_maks = 5, nilai_input=3, bobot = 3, nilai_akhir = 1.8, id_indikator = 'C020250229' where id_evaluasi = '20250103_C020250605';</v>
      </c>
    </row>
    <row r="606" spans="1:10" hidden="1" x14ac:dyDescent="0.35">
      <c r="A606" t="s">
        <v>704</v>
      </c>
      <c r="B606" t="s">
        <v>647</v>
      </c>
      <c r="C606" t="s">
        <v>84</v>
      </c>
      <c r="D606" t="s">
        <v>85</v>
      </c>
      <c r="E606" s="1">
        <v>1</v>
      </c>
      <c r="F606" s="1">
        <f>VLOOKUP(C606,m_indikator!$A$2:$F$30,5,TRUE)</f>
        <v>5</v>
      </c>
      <c r="G606" s="15">
        <v>4</v>
      </c>
      <c r="H606" s="1">
        <f>VLOOKUP(C606,m_indikator!$A$2:$F$30,6,TRUE)</f>
        <v>3</v>
      </c>
      <c r="I606" s="15">
        <f t="shared" si="18"/>
        <v>2.4000000000000004</v>
      </c>
      <c r="J606" t="str">
        <f t="shared" si="19"/>
        <v>update evaluasi set tahun = 1, nilai_maks = 5, nilai_input=4, bobot = 3, nilai_akhir = 2.4, id_indikator = 'C020250229' where id_evaluasi = '20250104_C020250605';</v>
      </c>
    </row>
    <row r="607" spans="1:10" hidden="1" x14ac:dyDescent="0.35">
      <c r="A607" t="s">
        <v>705</v>
      </c>
      <c r="B607" t="s">
        <v>647</v>
      </c>
      <c r="C607" t="s">
        <v>84</v>
      </c>
      <c r="D607" t="s">
        <v>85</v>
      </c>
      <c r="E607" s="1">
        <v>1</v>
      </c>
      <c r="F607" s="1">
        <f>VLOOKUP(C607,m_indikator!$A$2:$F$30,5,TRUE)</f>
        <v>5</v>
      </c>
      <c r="G607" s="15">
        <v>1</v>
      </c>
      <c r="H607" s="1">
        <f>VLOOKUP(C607,m_indikator!$A$2:$F$30,6,TRUE)</f>
        <v>3</v>
      </c>
      <c r="I607" s="15">
        <f t="shared" si="18"/>
        <v>0.60000000000000009</v>
      </c>
      <c r="J607" t="str">
        <f t="shared" si="19"/>
        <v>update evaluasi set tahun = 1, nilai_maks = 5, nilai_input=1, bobot = 3, nilai_akhir = 0.6, id_indikator = 'C020250229' where id_evaluasi = '20250105_C020250605';</v>
      </c>
    </row>
    <row r="608" spans="1:10" hidden="1" x14ac:dyDescent="0.35">
      <c r="A608" t="s">
        <v>706</v>
      </c>
      <c r="B608" t="s">
        <v>647</v>
      </c>
      <c r="C608" t="s">
        <v>84</v>
      </c>
      <c r="D608" t="s">
        <v>85</v>
      </c>
      <c r="E608" s="1">
        <v>1</v>
      </c>
      <c r="F608" s="1">
        <f>VLOOKUP(C608,m_indikator!$A$2:$F$30,5,TRUE)</f>
        <v>5</v>
      </c>
      <c r="G608" s="15">
        <v>3</v>
      </c>
      <c r="H608" s="1">
        <f>VLOOKUP(C608,m_indikator!$A$2:$F$30,6,TRUE)</f>
        <v>3</v>
      </c>
      <c r="I608" s="15">
        <f t="shared" si="18"/>
        <v>1.7999999999999998</v>
      </c>
      <c r="J608" t="str">
        <f t="shared" si="19"/>
        <v>update evaluasi set tahun = 1, nilai_maks = 5, nilai_input=3, bobot = 3, nilai_akhir = 1.8, id_indikator = 'C020250229' where id_evaluasi = '20250106_C020250605';</v>
      </c>
    </row>
    <row r="609" spans="1:21" hidden="1" x14ac:dyDescent="0.35">
      <c r="A609" t="s">
        <v>707</v>
      </c>
      <c r="B609" t="s">
        <v>647</v>
      </c>
      <c r="C609" t="s">
        <v>84</v>
      </c>
      <c r="D609" t="s">
        <v>85</v>
      </c>
      <c r="E609" s="1">
        <v>1</v>
      </c>
      <c r="F609" s="1">
        <f>VLOOKUP(C609,m_indikator!$A$2:$F$30,5,TRUE)</f>
        <v>5</v>
      </c>
      <c r="G609" s="15">
        <v>3</v>
      </c>
      <c r="H609" s="1">
        <f>VLOOKUP(C609,m_indikator!$A$2:$F$30,6,TRUE)</f>
        <v>3</v>
      </c>
      <c r="I609" s="15">
        <f t="shared" si="18"/>
        <v>1.7999999999999998</v>
      </c>
      <c r="J609" t="str">
        <f t="shared" si="19"/>
        <v>update evaluasi set tahun = 1, nilai_maks = 5, nilai_input=3, bobot = 3, nilai_akhir = 1.8, id_indikator = 'C020250229' where id_evaluasi = '20250107_C020250605';</v>
      </c>
    </row>
    <row r="610" spans="1:21" hidden="1" x14ac:dyDescent="0.35">
      <c r="A610" t="s">
        <v>708</v>
      </c>
      <c r="B610" t="s">
        <v>647</v>
      </c>
      <c r="C610" t="s">
        <v>84</v>
      </c>
      <c r="D610" t="s">
        <v>85</v>
      </c>
      <c r="E610" s="1">
        <v>1</v>
      </c>
      <c r="F610" s="1">
        <f>VLOOKUP(C610,m_indikator!$A$2:$F$30,5,TRUE)</f>
        <v>5</v>
      </c>
      <c r="G610" s="15">
        <v>1</v>
      </c>
      <c r="H610" s="1">
        <f>VLOOKUP(C610,m_indikator!$A$2:$F$30,6,TRUE)</f>
        <v>3</v>
      </c>
      <c r="I610" s="15">
        <f t="shared" si="18"/>
        <v>0.60000000000000009</v>
      </c>
      <c r="J610" t="str">
        <f t="shared" si="19"/>
        <v>update evaluasi set tahun = 1, nilai_maks = 5, nilai_input=1, bobot = 3, nilai_akhir = 0.6, id_indikator = 'C020250229' where id_evaluasi = '20250108_C020250605';</v>
      </c>
    </row>
    <row r="611" spans="1:21" hidden="1" x14ac:dyDescent="0.35">
      <c r="A611" t="s">
        <v>709</v>
      </c>
      <c r="B611" t="s">
        <v>647</v>
      </c>
      <c r="C611" t="s">
        <v>84</v>
      </c>
      <c r="D611" t="s">
        <v>85</v>
      </c>
      <c r="E611" s="1">
        <v>1</v>
      </c>
      <c r="F611" s="1">
        <f>VLOOKUP(C611,m_indikator!$A$2:$F$30,5,TRUE)</f>
        <v>5</v>
      </c>
      <c r="G611" s="15">
        <v>3</v>
      </c>
      <c r="H611" s="1">
        <f>VLOOKUP(C611,m_indikator!$A$2:$F$30,6,TRUE)</f>
        <v>3</v>
      </c>
      <c r="I611" s="15">
        <f t="shared" si="18"/>
        <v>1.7999999999999998</v>
      </c>
      <c r="J611" t="str">
        <f t="shared" si="19"/>
        <v>update evaluasi set tahun = 1, nilai_maks = 5, nilai_input=3, bobot = 3, nilai_akhir = 1.8, id_indikator = 'C020250229' where id_evaluasi = '20250109_C020250605';</v>
      </c>
    </row>
    <row r="612" spans="1:21" hidden="1" x14ac:dyDescent="0.35">
      <c r="A612" t="s">
        <v>710</v>
      </c>
      <c r="B612" t="s">
        <v>647</v>
      </c>
      <c r="C612" t="s">
        <v>84</v>
      </c>
      <c r="D612" t="s">
        <v>85</v>
      </c>
      <c r="E612" s="1">
        <v>1</v>
      </c>
      <c r="F612" s="1">
        <f>VLOOKUP(C612,m_indikator!$A$2:$F$30,5,TRUE)</f>
        <v>5</v>
      </c>
      <c r="G612" s="15">
        <v>1</v>
      </c>
      <c r="H612" s="1">
        <f>VLOOKUP(C612,m_indikator!$A$2:$F$30,6,TRUE)</f>
        <v>3</v>
      </c>
      <c r="I612" s="15">
        <f t="shared" si="18"/>
        <v>0.60000000000000009</v>
      </c>
      <c r="J612" t="str">
        <f t="shared" si="19"/>
        <v>update evaluasi set tahun = 1, nilai_maks = 5, nilai_input=1, bobot = 3, nilai_akhir = 0.6, id_indikator = 'C020250229' where id_evaluasi = '20250110_C020250605';</v>
      </c>
    </row>
    <row r="624" spans="1:21" x14ac:dyDescent="0.35">
      <c r="P624" s="12"/>
      <c r="Q624" s="12"/>
      <c r="T624" s="13"/>
      <c r="U624" s="13"/>
    </row>
    <row r="1346" spans="16:22" x14ac:dyDescent="0.35">
      <c r="P1346" s="12"/>
      <c r="Q1346" s="12"/>
      <c r="U1346" s="13"/>
      <c r="V1346" s="13"/>
    </row>
    <row r="1347" spans="16:22" x14ac:dyDescent="0.35">
      <c r="P1347" s="12"/>
      <c r="Q1347" s="12"/>
      <c r="U1347" s="13"/>
      <c r="V1347" s="13"/>
    </row>
    <row r="1348" spans="16:22" x14ac:dyDescent="0.35">
      <c r="P1348" s="12"/>
      <c r="Q1348" s="12"/>
      <c r="T1348" s="13"/>
      <c r="U1348" s="13"/>
    </row>
    <row r="2604" spans="16:22" x14ac:dyDescent="0.35">
      <c r="P2604" s="12"/>
      <c r="Q2604" s="12"/>
      <c r="U2604" s="13"/>
      <c r="V2604" s="13"/>
    </row>
    <row r="2605" spans="16:22" x14ac:dyDescent="0.35">
      <c r="P2605" s="12"/>
      <c r="Q2605" s="12"/>
      <c r="U2605" s="13"/>
      <c r="V2605" s="13"/>
    </row>
    <row r="2606" spans="16:22" x14ac:dyDescent="0.35">
      <c r="P2606" s="12"/>
      <c r="Q2606" s="12"/>
      <c r="T2606" s="13"/>
      <c r="U2606" s="13"/>
    </row>
    <row r="3328" spans="16:22" x14ac:dyDescent="0.35">
      <c r="P3328" s="12"/>
      <c r="Q3328" s="12"/>
      <c r="U3328" s="13"/>
      <c r="V3328" s="13"/>
    </row>
    <row r="3329" spans="16:22" x14ac:dyDescent="0.35">
      <c r="P3329" s="12"/>
      <c r="Q3329" s="12"/>
      <c r="U3329" s="13"/>
      <c r="V3329" s="13"/>
    </row>
    <row r="3330" spans="16:22" x14ac:dyDescent="0.35">
      <c r="P3330" s="12"/>
      <c r="Q3330" s="12"/>
      <c r="U3330" s="13"/>
      <c r="V3330" s="13"/>
    </row>
    <row r="3331" spans="16:22" x14ac:dyDescent="0.35">
      <c r="P3331" s="12"/>
      <c r="Q3331" s="12"/>
      <c r="T3331" s="13"/>
      <c r="U3331" s="13"/>
    </row>
    <row r="4053" spans="16:22" x14ac:dyDescent="0.35">
      <c r="P4053" s="12"/>
      <c r="Q4053" s="12"/>
      <c r="U4053" s="13"/>
      <c r="V4053" s="13"/>
    </row>
    <row r="4054" spans="16:22" x14ac:dyDescent="0.35">
      <c r="P4054" s="12"/>
      <c r="Q4054" s="12"/>
      <c r="T4054" s="13"/>
      <c r="U4054" s="13"/>
      <c r="V4054" s="13"/>
    </row>
    <row r="4055" spans="16:22" x14ac:dyDescent="0.35">
      <c r="P4055" s="12"/>
      <c r="Q4055" s="12"/>
      <c r="T4055" s="13"/>
      <c r="U4055" s="13"/>
    </row>
    <row r="4872" spans="16:22" x14ac:dyDescent="0.35">
      <c r="P4872" s="12"/>
      <c r="Q4872" s="12"/>
      <c r="T4872" s="13"/>
      <c r="U4872" s="13"/>
      <c r="V4872" s="13"/>
    </row>
    <row r="4873" spans="16:22" x14ac:dyDescent="0.35">
      <c r="P4873" s="12"/>
      <c r="Q4873" s="12"/>
      <c r="T4873" s="13"/>
      <c r="U4873" s="13"/>
    </row>
    <row r="6129" spans="16:21" x14ac:dyDescent="0.35">
      <c r="P6129" s="12"/>
      <c r="Q6129" s="12"/>
      <c r="T6129" s="13"/>
      <c r="U6129" s="13"/>
    </row>
    <row r="6285" spans="16:22" x14ac:dyDescent="0.35">
      <c r="P6285" s="12"/>
      <c r="Q6285" s="12"/>
      <c r="U6285" s="13"/>
      <c r="V6285" s="13"/>
    </row>
    <row r="6367" spans="16:21" x14ac:dyDescent="0.35">
      <c r="P6367" s="12"/>
      <c r="Q6367" s="12"/>
      <c r="T6367" s="13"/>
      <c r="U6367" s="13"/>
    </row>
    <row r="7114" spans="16:22" x14ac:dyDescent="0.35">
      <c r="P7114" s="12"/>
      <c r="Q7114" s="12"/>
      <c r="U7114" s="13"/>
      <c r="V7114" s="13"/>
    </row>
    <row r="7115" spans="16:22" x14ac:dyDescent="0.35">
      <c r="P7115" s="12"/>
      <c r="Q7115" s="12"/>
      <c r="U7115" s="13"/>
      <c r="V7115" s="13"/>
    </row>
    <row r="7116" spans="16:22" x14ac:dyDescent="0.35">
      <c r="P7116" s="12"/>
      <c r="Q7116" s="12"/>
      <c r="U7116" s="13"/>
      <c r="V7116" s="13"/>
    </row>
    <row r="7117" spans="16:22" x14ac:dyDescent="0.35">
      <c r="P7117" s="12"/>
      <c r="Q7117" s="12"/>
      <c r="U7117" s="13"/>
      <c r="V7117" s="13"/>
    </row>
    <row r="7118" spans="16:22" x14ac:dyDescent="0.35">
      <c r="P7118" s="12"/>
      <c r="Q7118" s="12"/>
      <c r="U7118" s="13"/>
      <c r="V7118" s="13"/>
    </row>
    <row r="7119" spans="16:22" x14ac:dyDescent="0.35">
      <c r="P7119" s="12"/>
      <c r="Q7119" s="12"/>
      <c r="U7119" s="13"/>
      <c r="V7119" s="13"/>
    </row>
    <row r="7120" spans="16:22" x14ac:dyDescent="0.35">
      <c r="P7120" s="12"/>
      <c r="Q7120" s="12"/>
      <c r="U7120" s="13"/>
      <c r="V7120" s="13"/>
    </row>
    <row r="7121" spans="16:21" x14ac:dyDescent="0.35">
      <c r="P7121" s="12"/>
      <c r="Q7121" s="12"/>
      <c r="T7121" s="13"/>
      <c r="U7121" s="13"/>
    </row>
    <row r="7859" spans="16:21" x14ac:dyDescent="0.35">
      <c r="P7859" s="12"/>
      <c r="Q7859" s="12"/>
      <c r="T7859" s="13"/>
      <c r="U7859" s="13"/>
    </row>
    <row r="8597" spans="16:21" x14ac:dyDescent="0.35">
      <c r="P8597" s="12"/>
      <c r="Q8597" s="12"/>
      <c r="T8597" s="13"/>
      <c r="U8597" s="13"/>
    </row>
    <row r="9335" spans="16:21" x14ac:dyDescent="0.35">
      <c r="P9335" s="12"/>
      <c r="Q9335" s="12"/>
      <c r="T9335" s="13"/>
      <c r="U9335" s="13"/>
    </row>
    <row r="10073" spans="16:21" x14ac:dyDescent="0.35">
      <c r="P10073" s="12"/>
      <c r="Q10073" s="12"/>
      <c r="T10073" s="13"/>
      <c r="U10073" s="13"/>
    </row>
    <row r="10813" spans="16:22" x14ac:dyDescent="0.35">
      <c r="P10813" s="12"/>
      <c r="Q10813" s="12"/>
      <c r="U10813" s="13"/>
      <c r="V10813" s="13"/>
    </row>
    <row r="10814" spans="16:22" x14ac:dyDescent="0.35">
      <c r="P10814" s="12"/>
      <c r="Q10814" s="12"/>
      <c r="U10814" s="13"/>
      <c r="V10814" s="13"/>
    </row>
    <row r="10815" spans="16:22" x14ac:dyDescent="0.35">
      <c r="P10815" s="12"/>
      <c r="Q10815" s="12"/>
      <c r="U10815" s="13"/>
      <c r="V10815" s="13"/>
    </row>
    <row r="10816" spans="16:22" x14ac:dyDescent="0.35">
      <c r="P10816" s="12"/>
      <c r="Q10816" s="12"/>
      <c r="U10816" s="13"/>
      <c r="V10816" s="13"/>
    </row>
    <row r="10817" spans="16:22" x14ac:dyDescent="0.35">
      <c r="P10817" s="12"/>
      <c r="Q10817" s="12"/>
      <c r="U10817" s="13"/>
      <c r="V10817" s="13"/>
    </row>
    <row r="10818" spans="16:22" x14ac:dyDescent="0.35">
      <c r="P10818" s="12"/>
      <c r="Q10818" s="12"/>
      <c r="T10818" s="13"/>
      <c r="U10818" s="13"/>
    </row>
    <row r="11626" spans="16:22" x14ac:dyDescent="0.35">
      <c r="P11626" s="12"/>
      <c r="Q11626" s="12"/>
      <c r="U11626" s="13"/>
      <c r="V11626" s="13"/>
    </row>
    <row r="11627" spans="16:22" x14ac:dyDescent="0.35">
      <c r="P11627" s="12"/>
      <c r="Q11627" s="12"/>
      <c r="U11627" s="13"/>
      <c r="V11627" s="13"/>
    </row>
    <row r="11628" spans="16:22" x14ac:dyDescent="0.35">
      <c r="P11628" s="12"/>
      <c r="Q11628" s="12"/>
      <c r="U11628" s="13"/>
      <c r="V11628" s="13"/>
    </row>
    <row r="11629" spans="16:22" x14ac:dyDescent="0.35">
      <c r="P11629" s="12"/>
      <c r="Q11629" s="12"/>
      <c r="T11629" s="13"/>
      <c r="U11629" s="13"/>
    </row>
    <row r="12357" spans="16:21" x14ac:dyDescent="0.35">
      <c r="P12357" s="12"/>
      <c r="Q12357" s="12"/>
      <c r="T12357" s="13"/>
      <c r="U12357" s="13"/>
    </row>
    <row r="13086" spans="16:22" x14ac:dyDescent="0.35">
      <c r="P13086" s="12"/>
      <c r="Q13086" s="12"/>
      <c r="U13086" s="13"/>
      <c r="V13086" s="13"/>
    </row>
    <row r="13087" spans="16:22" x14ac:dyDescent="0.35">
      <c r="P13087" s="12"/>
      <c r="Q13087" s="12"/>
      <c r="U13087" s="13"/>
      <c r="V13087" s="13"/>
    </row>
    <row r="13088" spans="16:22" x14ac:dyDescent="0.35">
      <c r="P13088" s="12"/>
      <c r="Q13088" s="12"/>
      <c r="T13088" s="13"/>
      <c r="U13088" s="13"/>
    </row>
    <row r="13815" spans="16:22" x14ac:dyDescent="0.35">
      <c r="P13815" s="12"/>
      <c r="Q13815" s="12"/>
      <c r="U13815" s="13"/>
      <c r="V13815" s="13"/>
    </row>
    <row r="13816" spans="16:22" x14ac:dyDescent="0.35">
      <c r="P13816" s="12"/>
      <c r="Q13816" s="12"/>
      <c r="U13816" s="13"/>
      <c r="V13816" s="13"/>
    </row>
    <row r="13817" spans="16:22" x14ac:dyDescent="0.35">
      <c r="P13817" s="12"/>
      <c r="Q13817" s="12"/>
      <c r="U13817" s="13"/>
      <c r="V13817" s="13"/>
    </row>
    <row r="13818" spans="16:22" x14ac:dyDescent="0.35">
      <c r="P13818" s="12"/>
      <c r="Q13818" s="12"/>
      <c r="U13818" s="13"/>
      <c r="V13818" s="13"/>
    </row>
    <row r="13819" spans="16:22" x14ac:dyDescent="0.35">
      <c r="P13819" s="12"/>
      <c r="Q13819" s="12"/>
      <c r="U13819" s="13"/>
      <c r="V13819" s="13"/>
    </row>
    <row r="13820" spans="16:22" x14ac:dyDescent="0.35">
      <c r="P13820" s="12"/>
      <c r="Q13820" s="12"/>
      <c r="U13820" s="13"/>
      <c r="V13820" s="13"/>
    </row>
    <row r="13821" spans="16:22" x14ac:dyDescent="0.35">
      <c r="P13821" s="12"/>
      <c r="Q13821" s="12"/>
      <c r="U13821" s="13"/>
      <c r="V13821" s="13"/>
    </row>
    <row r="13822" spans="16:22" x14ac:dyDescent="0.35">
      <c r="P13822" s="12"/>
      <c r="Q13822" s="12"/>
      <c r="U13822" s="13"/>
      <c r="V13822" s="13"/>
    </row>
    <row r="13823" spans="16:22" x14ac:dyDescent="0.35">
      <c r="P13823" s="12"/>
      <c r="Q13823" s="12"/>
      <c r="U13823" s="13"/>
      <c r="V13823" s="13"/>
    </row>
    <row r="13824" spans="16:22" x14ac:dyDescent="0.35">
      <c r="P13824" s="12"/>
      <c r="Q13824" s="12"/>
      <c r="U13824" s="13"/>
      <c r="V13824" s="13"/>
    </row>
    <row r="13825" spans="16:22" x14ac:dyDescent="0.35">
      <c r="P13825" s="12"/>
      <c r="Q13825" s="12"/>
      <c r="U13825" s="13"/>
      <c r="V13825" s="13"/>
    </row>
    <row r="13826" spans="16:22" x14ac:dyDescent="0.35">
      <c r="P13826" s="12"/>
      <c r="Q13826" s="12"/>
      <c r="T13826" s="13"/>
      <c r="U13826" s="13"/>
    </row>
    <row r="14555" spans="16:22" x14ac:dyDescent="0.35">
      <c r="P14555" s="12"/>
      <c r="Q14555" s="12"/>
      <c r="U14555" s="13"/>
      <c r="V14555" s="13"/>
    </row>
    <row r="14556" spans="16:22" x14ac:dyDescent="0.35">
      <c r="P14556" s="12"/>
      <c r="Q14556" s="12"/>
      <c r="U14556" s="13"/>
      <c r="V14556" s="13"/>
    </row>
    <row r="14557" spans="16:22" x14ac:dyDescent="0.35">
      <c r="P14557" s="12"/>
      <c r="Q14557" s="12"/>
      <c r="U14557" s="13"/>
      <c r="V14557" s="13"/>
    </row>
    <row r="14558" spans="16:22" x14ac:dyDescent="0.35">
      <c r="P14558" s="12"/>
      <c r="Q14558" s="12"/>
      <c r="U14558" s="13"/>
      <c r="V14558" s="13"/>
    </row>
    <row r="14559" spans="16:22" x14ac:dyDescent="0.35">
      <c r="P14559" s="12"/>
      <c r="Q14559" s="12"/>
      <c r="U14559" s="13"/>
      <c r="V14559" s="13"/>
    </row>
    <row r="14560" spans="16:22" x14ac:dyDescent="0.35">
      <c r="P14560" s="12"/>
      <c r="Q14560" s="12"/>
      <c r="U14560" s="13"/>
      <c r="V14560" s="13"/>
    </row>
  </sheetData>
  <autoFilter ref="A1:V612" xr:uid="{16C6C1EB-D488-45AF-A60B-A80647608EC9}">
    <filterColumn colId="3">
      <filters>
        <filter val="Budaya Kerja BerAKHLAK"/>
      </filters>
    </filterColumn>
  </autoFilter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CF0B-7DF2-48BE-A9BA-1DAA62A1A90A}">
  <dimension ref="A1:M13"/>
  <sheetViews>
    <sheetView tabSelected="1" topLeftCell="B1" workbookViewId="0">
      <selection activeCell="F18" sqref="F18"/>
    </sheetView>
  </sheetViews>
  <sheetFormatPr defaultRowHeight="14.5" x14ac:dyDescent="0.35"/>
  <cols>
    <col min="1" max="1" width="10.90625" bestFit="1" customWidth="1"/>
    <col min="2" max="2" width="50.08984375" bestFit="1" customWidth="1"/>
    <col min="3" max="3" width="8.90625" bestFit="1" customWidth="1"/>
  </cols>
  <sheetData>
    <row r="1" spans="1:13" x14ac:dyDescent="0.35">
      <c r="A1" t="s">
        <v>45</v>
      </c>
      <c r="B1" t="s">
        <v>46</v>
      </c>
      <c r="C1" t="s">
        <v>728</v>
      </c>
      <c r="D1" t="s">
        <v>47</v>
      </c>
      <c r="E1" t="s">
        <v>48</v>
      </c>
      <c r="F1" t="s">
        <v>729</v>
      </c>
      <c r="G1" t="s">
        <v>730</v>
      </c>
      <c r="H1" t="s">
        <v>712</v>
      </c>
      <c r="I1" t="s">
        <v>713</v>
      </c>
      <c r="J1" t="s">
        <v>731</v>
      </c>
      <c r="K1" t="s">
        <v>732</v>
      </c>
      <c r="L1" t="s">
        <v>733</v>
      </c>
      <c r="M1" t="s">
        <v>762</v>
      </c>
    </row>
    <row r="2" spans="1:13" x14ac:dyDescent="0.35">
      <c r="A2" t="s">
        <v>741</v>
      </c>
      <c r="B2" t="s">
        <v>742</v>
      </c>
      <c r="C2" t="s">
        <v>740</v>
      </c>
      <c r="D2">
        <v>1</v>
      </c>
      <c r="E2">
        <v>100</v>
      </c>
      <c r="F2">
        <v>1</v>
      </c>
      <c r="G2">
        <v>1</v>
      </c>
      <c r="H2" t="s">
        <v>715</v>
      </c>
      <c r="I2">
        <v>55</v>
      </c>
      <c r="J2" t="s">
        <v>734</v>
      </c>
      <c r="K2" t="s">
        <v>715</v>
      </c>
      <c r="L2">
        <v>1</v>
      </c>
      <c r="M2" t="str">
        <f>"('"&amp;A2&amp;"', '"&amp;B2&amp;"', '"&amp;C2&amp;"', "&amp;D2&amp;", "&amp;E2&amp;", "&amp;F2&amp;", "&amp;G2&amp;", '"&amp;H2&amp;"', "&amp;I2&amp;", '"&amp;J2&amp;"', '"&amp;K2&amp;"', "&amp;L2&amp;"),"</f>
        <v>('C020250301', 'Rencana Aksi Pengentasan Kemiskinan', 'C0202503', 1, 100, 1, 1, 'Biro Organisasi', 55, 'opd', 'Biro Organisasi', 1),</v>
      </c>
    </row>
    <row r="3" spans="1:13" x14ac:dyDescent="0.35">
      <c r="A3" t="s">
        <v>114</v>
      </c>
      <c r="B3" t="s">
        <v>743</v>
      </c>
      <c r="C3" t="s">
        <v>740</v>
      </c>
      <c r="D3">
        <v>1</v>
      </c>
      <c r="E3">
        <v>100</v>
      </c>
      <c r="F3">
        <v>1</v>
      </c>
      <c r="G3">
        <v>1</v>
      </c>
      <c r="H3" t="s">
        <v>715</v>
      </c>
      <c r="I3">
        <v>55</v>
      </c>
      <c r="J3" t="s">
        <v>734</v>
      </c>
      <c r="K3" t="s">
        <v>715</v>
      </c>
      <c r="L3">
        <v>1</v>
      </c>
      <c r="M3" t="str">
        <f t="shared" ref="M3:M13" si="0">"('"&amp;A3&amp;"', '"&amp;B3&amp;"', '"&amp;C3&amp;"', "&amp;D3&amp;", "&amp;E3&amp;", "&amp;F3&amp;", "&amp;G3&amp;", '"&amp;H3&amp;"', "&amp;I3&amp;", '"&amp;J3&amp;"', '"&amp;K3&amp;"', "&amp;L3&amp;"),"</f>
        <v>('C020250302', 'Rencana Aksi Realisasi Investasi', 'C0202503', 1, 100, 1, 1, 'Biro Organisasi', 55, 'opd', 'Biro Organisasi', 1),</v>
      </c>
    </row>
    <row r="4" spans="1:13" x14ac:dyDescent="0.35">
      <c r="A4" t="s">
        <v>179</v>
      </c>
      <c r="B4" t="s">
        <v>744</v>
      </c>
      <c r="C4" t="s">
        <v>740</v>
      </c>
      <c r="D4">
        <v>1</v>
      </c>
      <c r="E4">
        <v>100</v>
      </c>
      <c r="F4">
        <v>1</v>
      </c>
      <c r="G4">
        <v>1</v>
      </c>
      <c r="H4" t="s">
        <v>715</v>
      </c>
      <c r="I4">
        <v>55</v>
      </c>
      <c r="J4" t="s">
        <v>734</v>
      </c>
      <c r="K4" t="s">
        <v>715</v>
      </c>
      <c r="L4">
        <v>1</v>
      </c>
      <c r="M4" t="str">
        <f t="shared" si="0"/>
        <v>('C020250303', 'Rencana Aksi Mendorong Hilirisasi', 'C0202503', 1, 100, 1, 1, 'Biro Organisasi', 55, 'opd', 'Biro Organisasi', 1),</v>
      </c>
    </row>
    <row r="5" spans="1:13" x14ac:dyDescent="0.35">
      <c r="A5" t="s">
        <v>748</v>
      </c>
      <c r="B5" t="s">
        <v>745</v>
      </c>
      <c r="C5" t="s">
        <v>740</v>
      </c>
      <c r="D5">
        <v>1</v>
      </c>
      <c r="E5">
        <v>100</v>
      </c>
      <c r="F5">
        <v>1</v>
      </c>
      <c r="G5">
        <v>1</v>
      </c>
      <c r="H5" t="s">
        <v>715</v>
      </c>
      <c r="I5">
        <v>55</v>
      </c>
      <c r="J5" t="s">
        <v>734</v>
      </c>
      <c r="K5" t="s">
        <v>715</v>
      </c>
      <c r="L5">
        <v>1</v>
      </c>
      <c r="M5" t="str">
        <f t="shared" si="0"/>
        <v>('C020250304', 'Rencana Aksi Mendukung Ketahanan Pangan Nasional', 'C0202503', 1, 100, 1, 1, 'Biro Organisasi', 55, 'opd', 'Biro Organisasi', 1),</v>
      </c>
    </row>
    <row r="6" spans="1:13" x14ac:dyDescent="0.35">
      <c r="A6" t="s">
        <v>749</v>
      </c>
      <c r="B6" t="s">
        <v>746</v>
      </c>
      <c r="C6" t="s">
        <v>740</v>
      </c>
      <c r="D6">
        <v>1</v>
      </c>
      <c r="E6">
        <v>100</v>
      </c>
      <c r="F6">
        <v>1</v>
      </c>
      <c r="G6">
        <v>1</v>
      </c>
      <c r="H6" t="s">
        <v>715</v>
      </c>
      <c r="I6">
        <v>55</v>
      </c>
      <c r="J6" t="s">
        <v>734</v>
      </c>
      <c r="K6" t="s">
        <v>715</v>
      </c>
      <c r="L6">
        <v>1</v>
      </c>
      <c r="M6" t="str">
        <f t="shared" si="0"/>
        <v>('C020250305', 'Rencana Aksi Peningkatan Kualitas dan Akses Layanan Kesehatan', 'C0202503', 1, 100, 1, 1, 'Biro Organisasi', 55, 'opd', 'Biro Organisasi', 1),</v>
      </c>
    </row>
    <row r="7" spans="1:13" x14ac:dyDescent="0.35">
      <c r="A7" t="s">
        <v>750</v>
      </c>
      <c r="B7" t="s">
        <v>747</v>
      </c>
      <c r="C7" t="s">
        <v>740</v>
      </c>
      <c r="D7">
        <v>1</v>
      </c>
      <c r="E7">
        <v>100</v>
      </c>
      <c r="F7">
        <v>1</v>
      </c>
      <c r="G7">
        <v>1</v>
      </c>
      <c r="H7" t="s">
        <v>715</v>
      </c>
      <c r="I7">
        <v>55</v>
      </c>
      <c r="J7" t="s">
        <v>734</v>
      </c>
      <c r="K7" t="s">
        <v>715</v>
      </c>
      <c r="L7">
        <v>1</v>
      </c>
      <c r="M7" t="str">
        <f t="shared" si="0"/>
        <v>('C020250306', 'Rencana Aksi Peningkatan Akses, Kualitas dan Mutu Layanan Pendidikan', 'C0202503', 1, 100, 1, 1, 'Biro Organisasi', 55, 'opd', 'Biro Organisasi', 1),</v>
      </c>
    </row>
    <row r="8" spans="1:13" x14ac:dyDescent="0.35">
      <c r="A8" t="s">
        <v>753</v>
      </c>
      <c r="B8" t="s">
        <v>754</v>
      </c>
      <c r="C8" t="s">
        <v>752</v>
      </c>
      <c r="D8">
        <v>1</v>
      </c>
      <c r="E8">
        <v>100</v>
      </c>
      <c r="F8">
        <v>1</v>
      </c>
      <c r="G8">
        <v>1</v>
      </c>
      <c r="H8" t="s">
        <v>715</v>
      </c>
      <c r="I8">
        <v>55</v>
      </c>
      <c r="J8" t="s">
        <v>734</v>
      </c>
      <c r="K8" t="s">
        <v>715</v>
      </c>
      <c r="L8">
        <v>1</v>
      </c>
      <c r="M8" t="str">
        <f t="shared" si="0"/>
        <v>('C020250401', 'Capaian Output Pengentasan Kemiskinan', 'C0202504', 1, 100, 1, 1, 'Biro Organisasi', 55, 'opd', 'Biro Organisasi', 1),</v>
      </c>
    </row>
    <row r="9" spans="1:13" x14ac:dyDescent="0.35">
      <c r="A9" t="s">
        <v>244</v>
      </c>
      <c r="B9" t="s">
        <v>755</v>
      </c>
      <c r="C9" t="s">
        <v>752</v>
      </c>
      <c r="D9">
        <v>1</v>
      </c>
      <c r="E9">
        <v>100</v>
      </c>
      <c r="F9">
        <v>1</v>
      </c>
      <c r="G9">
        <v>1</v>
      </c>
      <c r="H9" t="s">
        <v>715</v>
      </c>
      <c r="I9">
        <v>55</v>
      </c>
      <c r="J9" t="s">
        <v>734</v>
      </c>
      <c r="K9" t="s">
        <v>715</v>
      </c>
      <c r="L9">
        <v>1</v>
      </c>
      <c r="M9" t="str">
        <f t="shared" si="0"/>
        <v>('C020250402', 'Capaian Output Realisasi Investasi ', 'C0202504', 1, 100, 1, 1, 'Biro Organisasi', 55, 'opd', 'Biro Organisasi', 1),</v>
      </c>
    </row>
    <row r="10" spans="1:13" x14ac:dyDescent="0.35">
      <c r="A10" t="s">
        <v>760</v>
      </c>
      <c r="B10" t="s">
        <v>756</v>
      </c>
      <c r="C10" t="s">
        <v>752</v>
      </c>
      <c r="D10">
        <v>1</v>
      </c>
      <c r="E10">
        <v>100</v>
      </c>
      <c r="F10">
        <v>1</v>
      </c>
      <c r="G10">
        <v>1</v>
      </c>
      <c r="H10" t="s">
        <v>715</v>
      </c>
      <c r="I10">
        <v>55</v>
      </c>
      <c r="J10" t="s">
        <v>734</v>
      </c>
      <c r="K10" t="s">
        <v>715</v>
      </c>
      <c r="L10">
        <v>1</v>
      </c>
      <c r="M10" t="str">
        <f t="shared" si="0"/>
        <v>('C020250403', 'Capaian Output Mendorong Hilirisasi', 'C0202504', 1, 100, 1, 1, 'Biro Organisasi', 55, 'opd', 'Biro Organisasi', 1),</v>
      </c>
    </row>
    <row r="11" spans="1:13" x14ac:dyDescent="0.35">
      <c r="A11" t="s">
        <v>309</v>
      </c>
      <c r="B11" t="s">
        <v>757</v>
      </c>
      <c r="C11" t="s">
        <v>752</v>
      </c>
      <c r="D11">
        <v>1</v>
      </c>
      <c r="E11">
        <v>100</v>
      </c>
      <c r="F11">
        <v>1</v>
      </c>
      <c r="G11">
        <v>1</v>
      </c>
      <c r="H11" t="s">
        <v>715</v>
      </c>
      <c r="I11">
        <v>55</v>
      </c>
      <c r="J11" t="s">
        <v>734</v>
      </c>
      <c r="K11" t="s">
        <v>715</v>
      </c>
      <c r="L11">
        <v>1</v>
      </c>
      <c r="M11" t="str">
        <f t="shared" si="0"/>
        <v>('C020250404', 'Capaian Output Mendukung Ketahanan Pangan Nasional', 'C0202504', 1, 100, 1, 1, 'Biro Organisasi', 55, 'opd', 'Biro Organisasi', 1),</v>
      </c>
    </row>
    <row r="12" spans="1:13" x14ac:dyDescent="0.35">
      <c r="A12" t="s">
        <v>761</v>
      </c>
      <c r="B12" t="s">
        <v>758</v>
      </c>
      <c r="C12" t="s">
        <v>752</v>
      </c>
      <c r="D12">
        <v>1</v>
      </c>
      <c r="E12">
        <v>100</v>
      </c>
      <c r="F12">
        <v>1</v>
      </c>
      <c r="G12">
        <v>1</v>
      </c>
      <c r="H12" t="s">
        <v>715</v>
      </c>
      <c r="I12">
        <v>55</v>
      </c>
      <c r="J12" t="s">
        <v>734</v>
      </c>
      <c r="K12" t="s">
        <v>715</v>
      </c>
      <c r="L12">
        <v>1</v>
      </c>
      <c r="M12" t="str">
        <f t="shared" si="0"/>
        <v>('C020250405', 'Capaian Output Peningkatan Kualitas dan Akses Layanan Kesehatan', 'C0202504', 1, 100, 1, 1, 'Biro Organisasi', 55, 'opd', 'Biro Organisasi', 1),</v>
      </c>
    </row>
    <row r="13" spans="1:13" x14ac:dyDescent="0.35">
      <c r="A13" t="s">
        <v>751</v>
      </c>
      <c r="B13" t="s">
        <v>759</v>
      </c>
      <c r="C13" t="s">
        <v>752</v>
      </c>
      <c r="D13">
        <v>1</v>
      </c>
      <c r="E13">
        <v>100</v>
      </c>
      <c r="F13">
        <v>1</v>
      </c>
      <c r="G13">
        <v>1</v>
      </c>
      <c r="H13" t="s">
        <v>715</v>
      </c>
      <c r="I13">
        <v>55</v>
      </c>
      <c r="J13" t="s">
        <v>734</v>
      </c>
      <c r="K13" t="s">
        <v>715</v>
      </c>
      <c r="L13">
        <v>1</v>
      </c>
      <c r="M13" t="str">
        <f t="shared" si="0"/>
        <v>('C020250406', 'Capaian Output Peningkatan Akses, Kualitas dan Mutu Layanan Pendidikan', 'C0202504', 1, 100, 1, 1, 'Biro Organisasi', 55, 'opd', 'Biro Organisasi', 1),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RB General</vt:lpstr>
      <vt:lpstr>m_indikator</vt:lpstr>
      <vt:lpstr>m_evaluasi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dirga.ambara@outlook.com</dc:creator>
  <cp:lastModifiedBy>dirga.ambara@outlook.com</cp:lastModifiedBy>
  <dcterms:created xsi:type="dcterms:W3CDTF">2026-01-01T23:51:46Z</dcterms:created>
  <dcterms:modified xsi:type="dcterms:W3CDTF">2026-01-31T11:56:59Z</dcterms:modified>
</cp:coreProperties>
</file>